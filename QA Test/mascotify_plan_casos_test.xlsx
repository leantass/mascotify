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blo Bruzzone\Desktop\"/>
    </mc:Choice>
  </mc:AlternateContent>
  <xr:revisionPtr revIDLastSave="0" documentId="13_ncr:1_{41A699C4-1598-4899-A12D-E54A785366E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 QA" sheetId="1" r:id="rId1"/>
    <sheet name="Casos de test" sheetId="2" r:id="rId2"/>
    <sheet name="Bugs encontrados" sheetId="3" r:id="rId3"/>
    <sheet name="Checklist visual" sheetId="4" r:id="rId4"/>
    <sheet name="Regresión crítica" sheetId="5" r:id="rId5"/>
    <sheet name="Guía de us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E10" i="1"/>
  <c r="B10" i="1"/>
  <c r="E9" i="1"/>
  <c r="B9" i="1"/>
  <c r="E8" i="1"/>
  <c r="B8" i="1"/>
  <c r="H7" i="1"/>
  <c r="E7" i="1"/>
  <c r="B7" i="1"/>
  <c r="H6" i="1"/>
  <c r="E6" i="1"/>
  <c r="B6" i="1"/>
  <c r="H5" i="1"/>
  <c r="E5" i="1"/>
  <c r="B5" i="1"/>
  <c r="B11" i="1" l="1"/>
</calcChain>
</file>

<file path=xl/sharedStrings.xml><?xml version="1.0" encoding="utf-8"?>
<sst xmlns="http://schemas.openxmlformats.org/spreadsheetml/2006/main" count="1666" uniqueCount="809">
  <si>
    <t>Plan de testing - Mascotify</t>
  </si>
  <si>
    <t>Plantilla para probar la app completa, registrar bugs y preparar automatización. Sí, una planilla para que el caos finja tener modales.</t>
  </si>
  <si>
    <t>Indicador</t>
  </si>
  <si>
    <t>Valor</t>
  </si>
  <si>
    <t>Estado</t>
  </si>
  <si>
    <t>Cantidad</t>
  </si>
  <si>
    <t>Prioridad</t>
  </si>
  <si>
    <t>Total de casos</t>
  </si>
  <si>
    <t>Pendiente</t>
  </si>
  <si>
    <t>Alta</t>
  </si>
  <si>
    <t>Casos pendientes</t>
  </si>
  <si>
    <t>En prueba</t>
  </si>
  <si>
    <t>Media</t>
  </si>
  <si>
    <t>Casos aprobados</t>
  </si>
  <si>
    <t>Pasó</t>
  </si>
  <si>
    <t>Baja</t>
  </si>
  <si>
    <t>Casos fallidos</t>
  </si>
  <si>
    <t>Falló</t>
  </si>
  <si>
    <t>Casos bloqueados</t>
  </si>
  <si>
    <t>Bloqueado</t>
  </si>
  <si>
    <t>Casos no aplica</t>
  </si>
  <si>
    <t>No aplica</t>
  </si>
  <si>
    <t>% aprobado</t>
  </si>
  <si>
    <t>Casos por módulo</t>
  </si>
  <si>
    <t>Accesibilidad</t>
  </si>
  <si>
    <t>Auth</t>
  </si>
  <si>
    <t>Consola/errores</t>
  </si>
  <si>
    <t>Dashboard</t>
  </si>
  <si>
    <t>Ecosistema social</t>
  </si>
  <si>
    <t>Explorar</t>
  </si>
  <si>
    <t>Mascotas</t>
  </si>
  <si>
    <t>Mensajería</t>
  </si>
  <si>
    <t>Onboarding familia</t>
  </si>
  <si>
    <t>Onboarding profesional</t>
  </si>
  <si>
    <t>Perfil profesional</t>
  </si>
  <si>
    <t>Persistencia local</t>
  </si>
  <si>
    <t>Preferencias</t>
  </si>
  <si>
    <t>QR</t>
  </si>
  <si>
    <t>Registro</t>
  </si>
  <si>
    <t>Regresión</t>
  </si>
  <si>
    <t>Rendimiento</t>
  </si>
  <si>
    <t>Responsive</t>
  </si>
  <si>
    <t>ID</t>
  </si>
  <si>
    <t>Módulo</t>
  </si>
  <si>
    <t>Pantalla / Flujo</t>
  </si>
  <si>
    <t>Caso de prueba</t>
  </si>
  <si>
    <t>Tipo</t>
  </si>
  <si>
    <t>Automatizable</t>
  </si>
  <si>
    <t>Automatización sugerida</t>
  </si>
  <si>
    <t>Precondición</t>
  </si>
  <si>
    <t>Datos de prueba</t>
  </si>
  <si>
    <t>Pasos</t>
  </si>
  <si>
    <t>Resultado esperado</t>
  </si>
  <si>
    <t>Resultado obtenido</t>
  </si>
  <si>
    <t>Responsable</t>
  </si>
  <si>
    <t>Fecha ejecución</t>
  </si>
  <si>
    <t>Bug ID / Link</t>
  </si>
  <si>
    <t>Observaciones</t>
  </si>
  <si>
    <t>QA-001</t>
  </si>
  <si>
    <t>Arranque de app</t>
  </si>
  <si>
    <t>La app abre sin crashear en web/desktop</t>
  </si>
  <si>
    <t>Smoke</t>
  </si>
  <si>
    <t>Sí</t>
  </si>
  <si>
    <t>Smoke test</t>
  </si>
  <si>
    <t>App compilada en entorno local</t>
  </si>
  <si>
    <t>Navegador desktop</t>
  </si>
  <si>
    <t>1) Abrir la app en Chrome. 2) Esperar carga inicial. 3) Observar primera pantalla visible.</t>
  </si>
  <si>
    <t>La app muestra una pantalla inicial válida sin pantalla blanca, errores rojos ni bloqueo.</t>
  </si>
  <si>
    <t>QA-002</t>
  </si>
  <si>
    <t>Pantalla login/registro</t>
  </si>
  <si>
    <t>Selector cambia entre Iniciar sesión y Crear cuenta</t>
  </si>
  <si>
    <t>Funcional</t>
  </si>
  <si>
    <t>Widget test</t>
  </si>
  <si>
    <t>Pantalla auth visible</t>
  </si>
  <si>
    <t>Click en ambas pestañas</t>
  </si>
  <si>
    <t>1) Abrir auth. 2) Click en Crear cuenta. 3) Click en Iniciar sesión.</t>
  </si>
  <si>
    <t>El panel cambia de modo y conserva layout estable, sin saltos violentos ni overflow.</t>
  </si>
  <si>
    <t>QA-003</t>
  </si>
  <si>
    <t>Pantalla login</t>
  </si>
  <si>
    <t>Login muestra campos principales</t>
  </si>
  <si>
    <t>Modo Iniciar sesión</t>
  </si>
  <si>
    <t>1) Entrar a modo Iniciar sesión. 2) Revisar campos visibles.</t>
  </si>
  <si>
    <t>Se ven campos de email/usuario y contraseña, botones principales y acceso demo si corresponde.</t>
  </si>
  <si>
    <t>QA-004</t>
  </si>
  <si>
    <t>Pantalla registro</t>
  </si>
  <si>
    <t>Registro muestra campos principales</t>
  </si>
  <si>
    <t>Modo Crear cuenta</t>
  </si>
  <si>
    <t>1) Entrar a Crear cuenta. 2) Revisar campos de nombre, ciudad, correo y contraseña.</t>
  </si>
  <si>
    <t>Se ven todos los campos sin solaparse y sin scroll interno raro en desktop.</t>
  </si>
  <si>
    <t>QA-005</t>
  </si>
  <si>
    <t>Login demo</t>
  </si>
  <si>
    <t>Acceso demo familia funciona</t>
  </si>
  <si>
    <t>Integration test</t>
  </si>
  <si>
    <t>Acceso demo disponible</t>
  </si>
  <si>
    <t>Perfil demo familia</t>
  </si>
  <si>
    <t>1) Click en demo familia. 2) Confirmar navegación.</t>
  </si>
  <si>
    <t>La app entra con perfil familia demo y muestra dashboard/home correcto.</t>
  </si>
  <si>
    <t>QA-006</t>
  </si>
  <si>
    <t>Acceso demo profesional funciona</t>
  </si>
  <si>
    <t>Perfil demo profesional</t>
  </si>
  <si>
    <t>1) Click en demo profesional. 2) Confirmar navegación.</t>
  </si>
  <si>
    <t>La app entra con perfil profesional demo y muestra estado profesional correcto.</t>
  </si>
  <si>
    <t>QA-007</t>
  </si>
  <si>
    <t>Validaciones login</t>
  </si>
  <si>
    <t>Login vacío no debería avanzar</t>
  </si>
  <si>
    <t>Validación</t>
  </si>
  <si>
    <t>Pantalla login visible</t>
  </si>
  <si>
    <t>Campos vacíos</t>
  </si>
  <si>
    <t>1) Dejar campos vacíos. 2) Presionar botón principal.</t>
  </si>
  <si>
    <t>La app muestra validación o bloquea avance sin crashear.</t>
  </si>
  <si>
    <t>QA-008</t>
  </si>
  <si>
    <t>Google Auth visual</t>
  </si>
  <si>
    <t>Botón Google se ve consistente</t>
  </si>
  <si>
    <t>Visual</t>
  </si>
  <si>
    <t>Después</t>
  </si>
  <si>
    <t>Golden test futuro</t>
  </si>
  <si>
    <t>Botón Google</t>
  </si>
  <si>
    <t>1) Revisar botón Google en login. 2) Revisar botón Google en registro.</t>
  </si>
  <si>
    <t>El botón se ve prolijo, no corta logo/texto y mantiene estilo consistente.</t>
  </si>
  <si>
    <t>QA-009</t>
  </si>
  <si>
    <t>Crear cuenta</t>
  </si>
  <si>
    <t>Crear cuenta con datos válidos</t>
  </si>
  <si>
    <t>Modo Crear cuenta visible</t>
  </si>
  <si>
    <t>Nombre: Test QA; Ciudad: Buenos Aires; email válido</t>
  </si>
  <si>
    <t>1) Completar campos. 2) Elegir tipo de cuenta. 3) Crear cuenta.</t>
  </si>
  <si>
    <t>La cuenta se crea o avanza al onboarding sin errores visibles.</t>
  </si>
  <si>
    <t>QA-010</t>
  </si>
  <si>
    <t>Correo inválido muestra validación</t>
  </si>
  <si>
    <t>Email: prueba_sin_arroba</t>
  </si>
  <si>
    <t>1) Completar email inválido. 2) Presionar crear cuenta.</t>
  </si>
  <si>
    <t>La app no avanza y muestra feedback claro.</t>
  </si>
  <si>
    <t>QA-011</t>
  </si>
  <si>
    <t>Contraseña vacía o corta no avanza</t>
  </si>
  <si>
    <t>Contraseña vacía/corta</t>
  </si>
  <si>
    <t>1) Completar datos mínimos. 2) Dejar contraseña vacía o corta. 3) Crear cuenta.</t>
  </si>
  <si>
    <t>La app bloquea avance o muestra error entendible.</t>
  </si>
  <si>
    <t>QA-012</t>
  </si>
  <si>
    <t>Tipo de cuenta</t>
  </si>
  <si>
    <t>Elegir familia deja plan familia</t>
  </si>
  <si>
    <t>Registro visible</t>
  </si>
  <si>
    <t>Tipo familia</t>
  </si>
  <si>
    <t>1) Seleccionar familia. 2) Crear cuenta/continuar. 3) Revisar onboarding.</t>
  </si>
  <si>
    <t>El onboarding y plan activo corresponden a familia.</t>
  </si>
  <si>
    <t>QA-013</t>
  </si>
  <si>
    <t>Elegir profesional deja plan profesional</t>
  </si>
  <si>
    <t>Tipo profesional</t>
  </si>
  <si>
    <t>1) Seleccionar profesional. 2) Crear cuenta/continuar. 3) Revisar onboarding.</t>
  </si>
  <si>
    <t>El onboarding y plan activo corresponden a profesional.</t>
  </si>
  <si>
    <t>QA-014</t>
  </si>
  <si>
    <t>Responsive auth</t>
  </si>
  <si>
    <t>Registro no genera overflow en desktop 1365x768</t>
  </si>
  <si>
    <t>Pantalla registro visible</t>
  </si>
  <si>
    <t>Zoom 100%</t>
  </si>
  <si>
    <t>1) Abrir en 1365x768. 2) Alternar login/registro. 3) Observar franjas.</t>
  </si>
  <si>
    <t>No hay franjas amarillas/negras ni scroll interno innecesario.</t>
  </si>
  <si>
    <t>QA-015</t>
  </si>
  <si>
    <t>Acceso demo panel</t>
  </si>
  <si>
    <t>Botones demo quedan alineados en desktop</t>
  </si>
  <si>
    <t>Auth en desktop</t>
  </si>
  <si>
    <t>Panel demo visible</t>
  </si>
  <si>
    <t>1) Ver panel demo. 2) Revisar botones familia/profesional.</t>
  </si>
  <si>
    <t>Los botones se ven alineados, legibles y sin comprimirse.</t>
  </si>
  <si>
    <t>QA-016</t>
  </si>
  <si>
    <t>Persistencia sesión</t>
  </si>
  <si>
    <t>Sesión creada queda guardada</t>
  </si>
  <si>
    <t>Persistencia</t>
  </si>
  <si>
    <t>Crear cuenta o demo</t>
  </si>
  <si>
    <t>Cuenta creada/demo</t>
  </si>
  <si>
    <t>1) Entrar con cuenta/demo. 2) Recargar navegador. 3) Revisar estado.</t>
  </si>
  <si>
    <t>La app conserva sesión o estado local según diseño actual.</t>
  </si>
  <si>
    <t>QA-017</t>
  </si>
  <si>
    <t>Vista inicial</t>
  </si>
  <si>
    <t>Onboarding familia muestra contenido correcto</t>
  </si>
  <si>
    <t>Cuenta familia activa</t>
  </si>
  <si>
    <t>Usuario familia</t>
  </si>
  <si>
    <t>1) Entrar al onboarding familia. 2) Revisar textos principales.</t>
  </si>
  <si>
    <t>Se ve título, card superior, cuenta pensada, secuencia y señales del perfil elegido.</t>
  </si>
  <si>
    <t>QA-018</t>
  </si>
  <si>
    <t>Card superior</t>
  </si>
  <si>
    <t>Card superior tiene degradado rosa a celeste</t>
  </si>
  <si>
    <t>Onboarding familia visible</t>
  </si>
  <si>
    <t>1) Observar card superior. 2) Comparar orientación del degradado.</t>
  </si>
  <si>
    <t>Solo la card superior tiene gradiente rosa izquierda a celeste derecha.</t>
  </si>
  <si>
    <t>QA-019</t>
  </si>
  <si>
    <t>Cards inferiores</t>
  </si>
  <si>
    <t>Bloques inferiores no tienen degradado aplicado de más</t>
  </si>
  <si>
    <t>Vista actual</t>
  </si>
  <si>
    <t>1) Revisar Como queda pensada, Secuencia inicial y Señales.</t>
  </si>
  <si>
    <t>Los bloques inferiores mantienen el estilo normal previo, sin gradiente masivo.</t>
  </si>
  <si>
    <t>QA-020</t>
  </si>
  <si>
    <t>Secuencia inicial</t>
  </si>
  <si>
    <t>Badges 1, 2 y 3 son cuadrados redondeados</t>
  </si>
  <si>
    <t>Sección Secuencia inicial</t>
  </si>
  <si>
    <t>1) Revisar números 1, 2 y 3.</t>
  </si>
  <si>
    <t>Los badges son cuadrados con bordes redondeados, no círculos.</t>
  </si>
  <si>
    <t>QA-021</t>
  </si>
  <si>
    <t>Botón continuar</t>
  </si>
  <si>
    <t>Continuar como familia avanza correctamente</t>
  </si>
  <si>
    <t>Click continuar</t>
  </si>
  <si>
    <t>1) Click en Continuar como familia. 2) Revisar pantalla siguiente.</t>
  </si>
  <si>
    <t>La app avanza al home/dashboard familia sin error.</t>
  </si>
  <si>
    <t>QA-022</t>
  </si>
  <si>
    <t>Layout desktop</t>
  </si>
  <si>
    <t>Onboarding familia no tiene overflow</t>
  </si>
  <si>
    <t>Onboarding visible en web</t>
  </si>
  <si>
    <t>Resolución 1365x768</t>
  </si>
  <si>
    <t>1) Abrir onboarding. 2) Revisar pantalla completa.</t>
  </si>
  <si>
    <t>No hay franjas amarillas/negras ni contenido cortado.</t>
  </si>
  <si>
    <t>QA-023</t>
  </si>
  <si>
    <t>Onboarding profesional muestra contenido correcto</t>
  </si>
  <si>
    <t>Cuenta profesional activa</t>
  </si>
  <si>
    <t>Usuario profesional</t>
  </si>
  <si>
    <t>1) Entrar al onboarding profesional. 2) Revisar textos principales.</t>
  </si>
  <si>
    <t>Se ve título, card superior, cuenta pensada, secuencia y señales del perfil elegido profesional.</t>
  </si>
  <si>
    <t>QA-024</t>
  </si>
  <si>
    <t>Continuar como profesional avanza correctamente</t>
  </si>
  <si>
    <t>Onboarding profesional visible</t>
  </si>
  <si>
    <t>1) Click en Continuar como profesional. 2) Revisar pantalla siguiente.</t>
  </si>
  <si>
    <t>La app avanza al dashboard profesional sin error.</t>
  </si>
  <si>
    <t>QA-025</t>
  </si>
  <si>
    <t>Onboarding profesional entra sin scroll innecesario</t>
  </si>
  <si>
    <t>1) Abrir onboarding profesional. 2) Revisar barra de scroll.</t>
  </si>
  <si>
    <t>La pantalla entra completa en desktop normal o usa scroll solo si la altura es realmente insuficiente.</t>
  </si>
  <si>
    <t>QA-026</t>
  </si>
  <si>
    <t>Home logueada</t>
  </si>
  <si>
    <t>Dashboard carga después del login</t>
  </si>
  <si>
    <t>Usuario logueado</t>
  </si>
  <si>
    <t>Cuenta demo o local</t>
  </si>
  <si>
    <t>1) Iniciar sesión/demo. 2) Esperar home.</t>
  </si>
  <si>
    <t>Se ve dashboard/home con datos principales y sin errores.</t>
  </si>
  <si>
    <t>QA-027</t>
  </si>
  <si>
    <t>Accesos rápidos</t>
  </si>
  <si>
    <t>Accesos rápidos navegan o muestran destino esperado</t>
  </si>
  <si>
    <t>Dashboard visible</t>
  </si>
  <si>
    <t>Accesos rápidos visibles</t>
  </si>
  <si>
    <t>1) Click en cada acceso rápido. 2) Volver al dashboard.</t>
  </si>
  <si>
    <t>Cada acceso hace algo coherente: navega, abre panel o muestra estado futuro sin romper.</t>
  </si>
  <si>
    <t>QA-028</t>
  </si>
  <si>
    <t>Bloque activo hoy</t>
  </si>
  <si>
    <t>Qué está activo hoy se diferencia de accesos rápidos</t>
  </si>
  <si>
    <t>Bloque estado visible</t>
  </si>
  <si>
    <t>1) Revisar bloque de estado. 2) Comparar con accesos rápidos.</t>
  </si>
  <si>
    <t>El bloque se lee como estado/dashboard y no como una repetición visual idéntica.</t>
  </si>
  <si>
    <t>QA-029</t>
  </si>
  <si>
    <t>Estados vacíos</t>
  </si>
  <si>
    <t>Home sin mascotas muestra estado vacío claro</t>
  </si>
  <si>
    <t>Cuenta sin mascotas</t>
  </si>
  <si>
    <t>Base limpia o usuario nuevo</t>
  </si>
  <si>
    <t>1) Abrir home. 2) Revisar sección mascotas.</t>
  </si>
  <si>
    <t>Se informa que no hay mascotas y se ofrece acción lógica sin romper layout.</t>
  </si>
  <si>
    <t>QA-030</t>
  </si>
  <si>
    <t>Hover desktop</t>
  </si>
  <si>
    <t>Cards clickeables tienen feedback visual</t>
  </si>
  <si>
    <t>Dashboard desktop</t>
  </si>
  <si>
    <t>Mouse disponible</t>
  </si>
  <si>
    <t>1) Pasar mouse por cards/acciones. 2) Observar hover.</t>
  </si>
  <si>
    <t>Las cards clickeables cambian visualmente sin saltos bruscos.</t>
  </si>
  <si>
    <t>QA-031</t>
  </si>
  <si>
    <t>Navegación lateral/superior</t>
  </si>
  <si>
    <t>Menú principal conserva estado activo</t>
  </si>
  <si>
    <t>Menú visible</t>
  </si>
  <si>
    <t>1) Navegar por secciones. 2) Revisar item activo.</t>
  </si>
  <si>
    <t>El menú marca correctamente la sección actual.</t>
  </si>
  <si>
    <t>QA-032</t>
  </si>
  <si>
    <t>Sin overflow</t>
  </si>
  <si>
    <t>Dashboard no genera franjas amarillas</t>
  </si>
  <si>
    <t>1365x768</t>
  </si>
  <si>
    <t>1) Abrir dashboard en web. 2) Revisar pantalla completa.</t>
  </si>
  <si>
    <t>No hay RenderFlex overflow ni contenido cortado.</t>
  </si>
  <si>
    <t>QA-033</t>
  </si>
  <si>
    <t>Card profesional</t>
  </si>
  <si>
    <t>Card modo profesional muestra datos correctos</t>
  </si>
  <si>
    <t>Usuario profesional logueado</t>
  </si>
  <si>
    <t>Perfil profesional activo</t>
  </si>
  <si>
    <t>1) Abrir sección profesional. 2) Revisar nombre, email y modo.</t>
  </si>
  <si>
    <t>La card muestra datos del usuario y chip de modo profesional correcto.</t>
  </si>
  <si>
    <t>QA-034</t>
  </si>
  <si>
    <t>Gradiente de card profesional es rosa a celeste</t>
  </si>
  <si>
    <t>Card profesional visible</t>
  </si>
  <si>
    <t>1) Observar fondo de card. 2) Ver orientación.</t>
  </si>
  <si>
    <t>El degradado empieza rosa a la izquierda y termina celeste a la derecha.</t>
  </si>
  <si>
    <t>QA-035</t>
  </si>
  <si>
    <t>Botón público</t>
  </si>
  <si>
    <t>Ver perfil público es botón rosa</t>
  </si>
  <si>
    <t>Botón visible</t>
  </si>
  <si>
    <t>1) Ubicar botón Ver perfil público.</t>
  </si>
  <si>
    <t>El botón es rosa sólido con texto blanco y no queda outlined/blanco.</t>
  </si>
  <si>
    <t>QA-036</t>
  </si>
  <si>
    <t>Abrir perfil público</t>
  </si>
  <si>
    <t>Abrir perfil público es botón rosa</t>
  </si>
  <si>
    <t>Card Servicios y operación visible</t>
  </si>
  <si>
    <t>1) Ubicar Abrir perfil público.</t>
  </si>
  <si>
    <t>El botón usa el mismo estilo rosa que Ver perfil público.</t>
  </si>
  <si>
    <t>QA-037</t>
  </si>
  <si>
    <t>Servicios y operación</t>
  </si>
  <si>
    <t>Card de servicios muestra texto y botón</t>
  </si>
  <si>
    <t>Sección servicios visible</t>
  </si>
  <si>
    <t>1) Abrir servicios y operación.</t>
  </si>
  <si>
    <t>Se ve título, explicación y botón Abrir perfil público sin romper diseño.</t>
  </si>
  <si>
    <t>QA-038</t>
  </si>
  <si>
    <t>Perfil público</t>
  </si>
  <si>
    <t>Navegación al perfil público no crashea</t>
  </si>
  <si>
    <t>1) Click en Ver/Abrir perfil público.</t>
  </si>
  <si>
    <t>La app abre la vista pública o placeholder correspondiente sin crashear.</t>
  </si>
  <si>
    <t>QA-039</t>
  </si>
  <si>
    <t>Alta de mascota</t>
  </si>
  <si>
    <t>Formulario alta de mascota abre correctamente</t>
  </si>
  <si>
    <t>Acceso Alta de mascota</t>
  </si>
  <si>
    <t>1) Ir a Mascotas. 2) Abrir Alta de mascota.</t>
  </si>
  <si>
    <t>Se ve formulario con título, campos y botón correspondiente.</t>
  </si>
  <si>
    <t>QA-040</t>
  </si>
  <si>
    <t>Campo Especie inicia como Mascota</t>
  </si>
  <si>
    <t>Formulario visible</t>
  </si>
  <si>
    <t>Valor inicial</t>
  </si>
  <si>
    <t>1) Abrir Alta de mascota. 2) Revisar campo Especie.</t>
  </si>
  <si>
    <t>El campo visible dice Mascota al inicio, no Perro.</t>
  </si>
  <si>
    <t>QA-041</t>
  </si>
  <si>
    <t>Crear mascota con datos mínimos válidos</t>
  </si>
  <si>
    <t>Nombre: QA Pet; Especie: Mascota; Sexo: Macho</t>
  </si>
  <si>
    <t>1) Completar datos mínimos. 2) Guardar.</t>
  </si>
  <si>
    <t>La mascota se crea y aparece en listado/home según flujo actual.</t>
  </si>
  <si>
    <t>QA-042</t>
  </si>
  <si>
    <t>Nombre vacío muestra validación o no guarda</t>
  </si>
  <si>
    <t>Nombre vacío</t>
  </si>
  <si>
    <t>1) Dejar nombre vacío. 2) Guardar.</t>
  </si>
  <si>
    <t>La app no crea mascota inválida y muestra feedback o bloquea guardado.</t>
  </si>
  <si>
    <t>QA-043</t>
  </si>
  <si>
    <t>Edad con texto inválido se controla</t>
  </si>
  <si>
    <t>Edad: abc</t>
  </si>
  <si>
    <t>1) Ingresar letras en edad. 2) Guardar.</t>
  </si>
  <si>
    <t>La app evita datos inválidos o los maneja sin crashear.</t>
  </si>
  <si>
    <t>QA-044</t>
  </si>
  <si>
    <t>Sexo permite cambiar opción</t>
  </si>
  <si>
    <t>Sexo selector</t>
  </si>
  <si>
    <t>1) Abrir selector sexo. 2) Elegir Hembra u otra opción si existe.</t>
  </si>
  <si>
    <t>El valor seleccionado queda visible y no rompe el layout.</t>
  </si>
  <si>
    <t>QA-045</t>
  </si>
  <si>
    <t>Descripción breve acepta texto largo razonable</t>
  </si>
  <si>
    <t>Descripción de 150 caracteres</t>
  </si>
  <si>
    <t>1) Escribir descripción larga. 2) Observar campo. 3) Guardar si corresponde.</t>
  </si>
  <si>
    <t>El texto se ve/controla bien y no genera overflow.</t>
  </si>
  <si>
    <t>QA-046</t>
  </si>
  <si>
    <t>Listado</t>
  </si>
  <si>
    <t>Mascota creada aparece en listado</t>
  </si>
  <si>
    <t>Mascota creada</t>
  </si>
  <si>
    <t>QA Pet</t>
  </si>
  <si>
    <t>1) Crear mascota. 2) Volver al listado.</t>
  </si>
  <si>
    <t>La mascota aparece con datos principales correctos.</t>
  </si>
  <si>
    <t>QA-047</t>
  </si>
  <si>
    <t>Perfil mascota</t>
  </si>
  <si>
    <t>Ver perfil de mascota abre ficha correcta</t>
  </si>
  <si>
    <t>Mascota existente</t>
  </si>
  <si>
    <t>Click Ver perfil</t>
  </si>
  <si>
    <t>1) Abrir mascota existente. 2) Click en ver perfil.</t>
  </si>
  <si>
    <t>La ficha corresponde a esa mascota y no a otra.</t>
  </si>
  <si>
    <t>QA-048</t>
  </si>
  <si>
    <t>Eliminar/editar</t>
  </si>
  <si>
    <t>Acciones peligrosas no se ejecutan accidentalmente</t>
  </si>
  <si>
    <t>Seguridad básica</t>
  </si>
  <si>
    <t>No</t>
  </si>
  <si>
    <t>Manual</t>
  </si>
  <si>
    <t>Si existen editar/eliminar</t>
  </si>
  <si>
    <t>1) Buscar acciones editar/eliminar. 2) Intentar cancelar o revisar confirmación.</t>
  </si>
  <si>
    <t>La app no borra/modifica sin una acción clara del usuario.</t>
  </si>
  <si>
    <t>QA-049</t>
  </si>
  <si>
    <t>Hero ecosistema</t>
  </si>
  <si>
    <t>Card Ecosistema social tiene gradiente rosa a celeste</t>
  </si>
  <si>
    <t>Sección ecosistema visible</t>
  </si>
  <si>
    <t>1) Abrir Explorar/Ecosistema. 2) Revisar card superior.</t>
  </si>
  <si>
    <t>El gradiente va de rosa izquierda a celeste derecha y se ve consistente.</t>
  </si>
  <si>
    <t>QA-050</t>
  </si>
  <si>
    <t>Chips del ecosistema se ven completos</t>
  </si>
  <si>
    <t>Card ecosistema visible</t>
  </si>
  <si>
    <t>Chips visibles</t>
  </si>
  <si>
    <t>1) Revisar Matching futuro, Perfiles visibles, Conexiones seguras, Voces expertas.</t>
  </si>
  <si>
    <t>Los chips no se cortan ni se superponen.</t>
  </si>
  <si>
    <t>QA-051</t>
  </si>
  <si>
    <t>Listado perfiles</t>
  </si>
  <si>
    <t>Explorar muestra perfiles o estado vacío</t>
  </si>
  <si>
    <t>Pantalla Explorar</t>
  </si>
  <si>
    <t>1) Entrar a Explorar.</t>
  </si>
  <si>
    <t>La pantalla muestra perfiles disponibles o estado vacío claro.</t>
  </si>
  <si>
    <t>QA-052</t>
  </si>
  <si>
    <t>Filtros</t>
  </si>
  <si>
    <t>Filtro especie cambia resultados o queda documentado</t>
  </si>
  <si>
    <t>Filtros visibles si existen</t>
  </si>
  <si>
    <t>Especie</t>
  </si>
  <si>
    <t>1) Seleccionar especie. 2) Revisar listado.</t>
  </si>
  <si>
    <t>Los resultados cambian o el estado futuro queda claro sin romper app.</t>
  </si>
  <si>
    <t>QA-053</t>
  </si>
  <si>
    <t>Filtro sexo cambia resultados o queda documentado</t>
  </si>
  <si>
    <t>Sexo</t>
  </si>
  <si>
    <t>1) Seleccionar sexo. 2) Revisar listado.</t>
  </si>
  <si>
    <t>El filtro se aplica o muestra comportamiento futuro claro.</t>
  </si>
  <si>
    <t>QA-054</t>
  </si>
  <si>
    <t>Filtro ubicación no rompe con texto raro</t>
  </si>
  <si>
    <t>Filtro ubicación visible</t>
  </si>
  <si>
    <t>Texto: zz999</t>
  </si>
  <si>
    <t>1) Escribir ubicación inválida. 2) Aplicar filtro.</t>
  </si>
  <si>
    <t>La pantalla no crashea y muestra sin resultados o feedback.</t>
  </si>
  <si>
    <t>QA-055</t>
  </si>
  <si>
    <t>Perfil visible</t>
  </si>
  <si>
    <t>Abrir perfil desde explorar funciona</t>
  </si>
  <si>
    <t>Hay perfil visible</t>
  </si>
  <si>
    <t>Click perfil</t>
  </si>
  <si>
    <t>1) Click en un perfil visible.</t>
  </si>
  <si>
    <t>Se abre detalle del perfil seleccionado o placeholder correcto.</t>
  </si>
  <si>
    <t>QA-056</t>
  </si>
  <si>
    <t>Estado sin resultados</t>
  </si>
  <si>
    <t>Sin resultados se comunica bien</t>
  </si>
  <si>
    <t>Filtro sin resultados</t>
  </si>
  <si>
    <t>Filtros restrictivos</t>
  </si>
  <si>
    <t>1) Aplicar filtros que no devuelvan nada.</t>
  </si>
  <si>
    <t>La app muestra estado vacío claro y opción de limpiar filtros si existe.</t>
  </si>
  <si>
    <t>QA-057</t>
  </si>
  <si>
    <t>QR mascota</t>
  </si>
  <si>
    <t>QR persistente aparece si existe mascota</t>
  </si>
  <si>
    <t>Sección QR</t>
  </si>
  <si>
    <t>1) Abrir ficha de mascota. 2) Buscar QR.</t>
  </si>
  <si>
    <t>Si el QR está implementado, se muestra; si no, estado futuro claro.</t>
  </si>
  <si>
    <t>QA-058</t>
  </si>
  <si>
    <t>QR no cambia sin motivo entre recargas</t>
  </si>
  <si>
    <t>Mascota con QR</t>
  </si>
  <si>
    <t>Recarga navegador</t>
  </si>
  <si>
    <t>1) Ver QR/ID. 2) Recargar. 3) Volver a mirar.</t>
  </si>
  <si>
    <t>El QR/identificador se mantiene persistente si la función está implementada.</t>
  </si>
  <si>
    <t>QA-059</t>
  </si>
  <si>
    <t>Inbox</t>
  </si>
  <si>
    <t>Mensajería muestra estado vacío para cuenta nueva</t>
  </si>
  <si>
    <t>Cuenta sin mensajes</t>
  </si>
  <si>
    <t>Inbox si existe</t>
  </si>
  <si>
    <t>1) Abrir mensajería.</t>
  </si>
  <si>
    <t>Se muestra empty state claro, no errores ni datos fantasmas.</t>
  </si>
  <si>
    <t>QA-060</t>
  </si>
  <si>
    <t>Acceder a conversación no crashea</t>
  </si>
  <si>
    <t>Conversación mock si existe</t>
  </si>
  <si>
    <t>Click conversación</t>
  </si>
  <si>
    <t>1) Abrir una conversación existente/mock.</t>
  </si>
  <si>
    <t>La vista abre sin pantalla blanca ni errores.</t>
  </si>
  <si>
    <t>QA-061</t>
  </si>
  <si>
    <t>Configuración</t>
  </si>
  <si>
    <t>Acceso Configuración navega o muestra pantalla</t>
  </si>
  <si>
    <t>Acceso Configuración</t>
  </si>
  <si>
    <t>1) Click en Configuración.</t>
  </si>
  <si>
    <t>La app abre configuración real o pantalla placeholder clara.</t>
  </si>
  <si>
    <t>QA-062</t>
  </si>
  <si>
    <t>Notificaciones</t>
  </si>
  <si>
    <t>Acceso Notificaciones navega o muestra pantalla</t>
  </si>
  <si>
    <t>Acceso Notificaciones</t>
  </si>
  <si>
    <t>1) Click en Notificaciones.</t>
  </si>
  <si>
    <t>La app abre sección/pantalla sin crashear.</t>
  </si>
  <si>
    <t>QA-063</t>
  </si>
  <si>
    <t>Suscripción</t>
  </si>
  <si>
    <t>Acceso Suscripción navega o muestra pantalla</t>
  </si>
  <si>
    <t>Acceso Suscripción</t>
  </si>
  <si>
    <t>1) Click en Suscripción.</t>
  </si>
  <si>
    <t>QA-064</t>
  </si>
  <si>
    <t>Plan actual</t>
  </si>
  <si>
    <t>Plan actual se muestra coherente</t>
  </si>
  <si>
    <t>Usuario familia/profesional</t>
  </si>
  <si>
    <t>Plan visible</t>
  </si>
  <si>
    <t>1) Revisar plan en dashboard/perfil/onboarding.</t>
  </si>
  <si>
    <t>El plan visible coincide con el tipo de cuenta activo.</t>
  </si>
  <si>
    <t>QA-065</t>
  </si>
  <si>
    <t>Cuenta</t>
  </si>
  <si>
    <t>Datos de usuario persisten tras recargar</t>
  </si>
  <si>
    <t>Usuario creado/demo</t>
  </si>
  <si>
    <t>1) Entrar con usuario. 2) Recargar. 3) Revisar nombre/email.</t>
  </si>
  <si>
    <t>Los datos del usuario siguen disponibles según diseño actual.</t>
  </si>
  <si>
    <t>QA-066</t>
  </si>
  <si>
    <t>Mascota persiste tras recargar</t>
  </si>
  <si>
    <t>1) Crear mascota. 2) Recargar. 3) Abrir listado.</t>
  </si>
  <si>
    <t>La mascota creada sigue visible.</t>
  </si>
  <si>
    <t>QA-067</t>
  </si>
  <si>
    <t>Perfil profesional activado persiste</t>
  </si>
  <si>
    <t>1) Activar/usar perfil profesional. 2) Recargar app.</t>
  </si>
  <si>
    <t>La app conserva modo profesional y datos asociados.</t>
  </si>
  <si>
    <t>QA-068</t>
  </si>
  <si>
    <t>Limpieza de sesión</t>
  </si>
  <si>
    <t>Cerrar sesión limpia estado sensible</t>
  </si>
  <si>
    <t>Cerrar sesión si existe</t>
  </si>
  <si>
    <t>1) Cerrar sesión. 2) Volver a abrir app.</t>
  </si>
  <si>
    <t>La app no muestra datos privados del usuario anterior sin login.</t>
  </si>
  <si>
    <t>QA-069</t>
  </si>
  <si>
    <t>Desktop estándar</t>
  </si>
  <si>
    <t>App usable en 1365x768</t>
  </si>
  <si>
    <t>App en Chrome</t>
  </si>
  <si>
    <t>1365x768, zoom 100%</t>
  </si>
  <si>
    <t>1) Revisar auth, onboarding, dashboard y mascotas.</t>
  </si>
  <si>
    <t>No hay overflow, scroll absurdo ni elementos cortados.</t>
  </si>
  <si>
    <t>QA-070</t>
  </si>
  <si>
    <t>Desktop amplio</t>
  </si>
  <si>
    <t>App aprovecha ancho en 1920x1080</t>
  </si>
  <si>
    <t>1920x1080</t>
  </si>
  <si>
    <t>1) Revisar pantallas principales.</t>
  </si>
  <si>
    <t>La UI no queda artificialmente comprimida ni desbalanceada.</t>
  </si>
  <si>
    <t>QA-071</t>
  </si>
  <si>
    <t>Ventana baja</t>
  </si>
  <si>
    <t>Fallback de scroll general funciona</t>
  </si>
  <si>
    <t>App en ventana baja</t>
  </si>
  <si>
    <t>Altura menor a 700px</t>
  </si>
  <si>
    <t>1) Reducir altura. 2) Revisar scroll.</t>
  </si>
  <si>
    <t>Si no entra todo, aparece scroll general limpio, no overflow ni scroll interno raro.</t>
  </si>
  <si>
    <t>QA-072</t>
  </si>
  <si>
    <t>Zoom navegador</t>
  </si>
  <si>
    <t>App no se rompe con zoom 125%</t>
  </si>
  <si>
    <t>Chrome</t>
  </si>
  <si>
    <t>Zoom 125%</t>
  </si>
  <si>
    <t>1) Poner zoom 125%. 2) Revisar pantallas críticas.</t>
  </si>
  <si>
    <t>La app sigue siendo usable aunque pueda requerir scroll razonable.</t>
  </si>
  <si>
    <t>QA-073</t>
  </si>
  <si>
    <t>Teclado</t>
  </si>
  <si>
    <t>Navegación básica con Tab funciona</t>
  </si>
  <si>
    <t>Pantalla con formularios</t>
  </si>
  <si>
    <t>1) Usar Tab por los campos y botones. 2) Presionar Enter/Espacio.</t>
  </si>
  <si>
    <t>El foco avanza de forma lógica y permite operar acciones principales.</t>
  </si>
  <si>
    <t>QA-074</t>
  </si>
  <si>
    <t>Lectura visual</t>
  </si>
  <si>
    <t>Textos mantienen contraste suficiente</t>
  </si>
  <si>
    <t>Pantallas principales</t>
  </si>
  <si>
    <t>Revisión visual</t>
  </si>
  <si>
    <t>1) Revisar textos sobre gradientes y chips.</t>
  </si>
  <si>
    <t>Los textos se leen bien sobre fondos rosa/celeste y blancos.</t>
  </si>
  <si>
    <t>QA-075</t>
  </si>
  <si>
    <t>Errores de formulario</t>
  </si>
  <si>
    <t>Mensajes de error son claros</t>
  </si>
  <si>
    <t>Formulario con error</t>
  </si>
  <si>
    <t>Campos inválidos</t>
  </si>
  <si>
    <t>1) Provocar error en login/registro/mascota.</t>
  </si>
  <si>
    <t>El error se entiende y no depende solo de color.</t>
  </si>
  <si>
    <t>QA-076</t>
  </si>
  <si>
    <t>Carga inicial</t>
  </si>
  <si>
    <t>Carga inicial no se siente bloqueada</t>
  </si>
  <si>
    <t>App web local</t>
  </si>
  <si>
    <t>Primer ingreso</t>
  </si>
  <si>
    <t>1) Abrir app. 2) Medir percepción de carga. 3) Revisar consola.</t>
  </si>
  <si>
    <t>La app carga en tiempo razonable sin loops o congelamiento.</t>
  </si>
  <si>
    <t>QA-077</t>
  </si>
  <si>
    <t>Interacciones</t>
  </si>
  <si>
    <t>Cambiar de pantalla responde fluido</t>
  </si>
  <si>
    <t>Navegación principal</t>
  </si>
  <si>
    <t>1) Navegar 10 veces entre secciones principales.</t>
  </si>
  <si>
    <t>No hay freezes, parpadeos graves ni acumulación rara de estado.</t>
  </si>
  <si>
    <t>QA-078</t>
  </si>
  <si>
    <t>Errores Flutter</t>
  </si>
  <si>
    <t>No hay errores rojos ni amarillos en flujos críticos</t>
  </si>
  <si>
    <t>Modo debug/web</t>
  </si>
  <si>
    <t>Consola visible</t>
  </si>
  <si>
    <t>1) Recorrer auth, onboarding, dashboard, mascotas y explorar.</t>
  </si>
  <si>
    <t>No aparecen RenderFlex overflow, exceptions ni errores de navegación.</t>
  </si>
  <si>
    <t>QA-079</t>
  </si>
  <si>
    <t>Cambios visuales recientes</t>
  </si>
  <si>
    <t>Gradientes rosa a celeste están orientados correctamente</t>
  </si>
  <si>
    <t>Pantallas recientes</t>
  </si>
  <si>
    <t>Cards con gradiente</t>
  </si>
  <si>
    <t>1) Revisar onboarding superior, perfil profesional y ecosistema social.</t>
  </si>
  <si>
    <t>Las cards definidas usan rosa izquierda y celeste derecha, sin invertir sentido.</t>
  </si>
  <si>
    <t>QA-080</t>
  </si>
  <si>
    <t>Botones rosas</t>
  </si>
  <si>
    <t>Botones públicos usan rosa principal</t>
  </si>
  <si>
    <t>Secciones públicas/perfil</t>
  </si>
  <si>
    <t>Botones visibles</t>
  </si>
  <si>
    <t>1) Revisar Ver perfil público y Abrir perfil público.</t>
  </si>
  <si>
    <t>Todos los botones equivalentes son rosa sólido con texto blanco.</t>
  </si>
  <si>
    <t>Bug ID</t>
  </si>
  <si>
    <t>Fecha</t>
  </si>
  <si>
    <t>Caso relacionado</t>
  </si>
  <si>
    <t>Severidad</t>
  </si>
  <si>
    <t>Título</t>
  </si>
  <si>
    <t>Descripción</t>
  </si>
  <si>
    <t>Pasos para reproducir</t>
  </si>
  <si>
    <t>Resultado actual</t>
  </si>
  <si>
    <t>Evidencia / captura</t>
  </si>
  <si>
    <t>Notas</t>
  </si>
  <si>
    <t>Área</t>
  </si>
  <si>
    <t>Chequeo visual</t>
  </si>
  <si>
    <t>Pantalla</t>
  </si>
  <si>
    <t>VIS-001</t>
  </si>
  <si>
    <t>Overflow</t>
  </si>
  <si>
    <t>No aparecen franjas amarillas/negras</t>
  </si>
  <si>
    <t>Todas las pantallas críticas</t>
  </si>
  <si>
    <t>Sin RenderFlex overflow visible</t>
  </si>
  <si>
    <t>VIS-002</t>
  </si>
  <si>
    <t>Scroll</t>
  </si>
  <si>
    <t>No hay scroll innecesario en desktop</t>
  </si>
  <si>
    <t>Auth / Onboarding / Dashboard</t>
  </si>
  <si>
    <t>Scroll solo cuando el alto realmente no alcanza</t>
  </si>
  <si>
    <t>VIS-003</t>
  </si>
  <si>
    <t>Gradientes</t>
  </si>
  <si>
    <t>Gradiente rosa a celeste en cards definidas</t>
  </si>
  <si>
    <t>Onboarding superior / Perfil / Ecosistema</t>
  </si>
  <si>
    <t>Rosa izquierda y celeste derecha</t>
  </si>
  <si>
    <t>VIS-004</t>
  </si>
  <si>
    <t>Botones</t>
  </si>
  <si>
    <t>Botones principales usan rosa sólido</t>
  </si>
  <si>
    <t>Perfil público / Continuar / Acciones principales</t>
  </si>
  <si>
    <t>Fondo rosa y texto blanco</t>
  </si>
  <si>
    <t>VIS-005</t>
  </si>
  <si>
    <t>Botones secundarios no compiten visualmente</t>
  </si>
  <si>
    <t>Toda la app</t>
  </si>
  <si>
    <t>Se distinguen de acciones principales</t>
  </si>
  <si>
    <t>VIS-006</t>
  </si>
  <si>
    <t>Cards</t>
  </si>
  <si>
    <t>Cards no se superponen</t>
  </si>
  <si>
    <t>Dashboard / Perfil / Mascotas</t>
  </si>
  <si>
    <t>Separación correcta</t>
  </si>
  <si>
    <t>VIS-007</t>
  </si>
  <si>
    <t>Cards no quedan comprimidas</t>
  </si>
  <si>
    <t>Desktop 1365x768</t>
  </si>
  <si>
    <t>Textos legibles y sin corte</t>
  </si>
  <si>
    <t>VIS-008</t>
  </si>
  <si>
    <t>Chips</t>
  </si>
  <si>
    <t>Chips se ven completos</t>
  </si>
  <si>
    <t>Onboarding / Ecosistema / Perfil</t>
  </si>
  <si>
    <t>No cortan texto ni se pisan</t>
  </si>
  <si>
    <t>VIS-009</t>
  </si>
  <si>
    <t>Badges</t>
  </si>
  <si>
    <t>Badges numéricos son cuadrados redondeados</t>
  </si>
  <si>
    <t>Onboarding secuencia</t>
  </si>
  <si>
    <t>No circulares si el diseño pide cuadrados</t>
  </si>
  <si>
    <t>VIS-010</t>
  </si>
  <si>
    <t>Formularios</t>
  </si>
  <si>
    <t>Campos alineados y con labels legibles</t>
  </si>
  <si>
    <t>Alta mascota / Auth</t>
  </si>
  <si>
    <t>Labels no quedan montados sobre texto</t>
  </si>
  <si>
    <t>VIS-011</t>
  </si>
  <si>
    <t>Dropdowns no rompen altura</t>
  </si>
  <si>
    <t>Alta mascota</t>
  </si>
  <si>
    <t>Selector visible y legible</t>
  </si>
  <si>
    <t>VIS-012</t>
  </si>
  <si>
    <t>Campos vacíos mantienen placeholder claro</t>
  </si>
  <si>
    <t>Alta mascota / Registro</t>
  </si>
  <si>
    <t>Placeholder no confunde con valor real</t>
  </si>
  <si>
    <t>VIS-013</t>
  </si>
  <si>
    <t>Header</t>
  </si>
  <si>
    <t>Títulos principales tienen jerarquía</t>
  </si>
  <si>
    <t>Todas</t>
  </si>
  <si>
    <t>Título, subtítulo y acción se diferencian</t>
  </si>
  <si>
    <t>VIS-014</t>
  </si>
  <si>
    <t>Menú</t>
  </si>
  <si>
    <t>Estado activo del menú es claro</t>
  </si>
  <si>
    <t>App logueada</t>
  </si>
  <si>
    <t>La sección actual se identifica fácil</t>
  </si>
  <si>
    <t>VIS-015</t>
  </si>
  <si>
    <t>Vista amplia aprovecha ancho</t>
  </si>
  <si>
    <t>No queda todo tirado a una columna angosta</t>
  </si>
  <si>
    <t>VIS-016</t>
  </si>
  <si>
    <t>Vista baja usa fallback razonable</t>
  </si>
  <si>
    <t>Altura &lt;700</t>
  </si>
  <si>
    <t>Scroll general limpio, no overflow</t>
  </si>
  <si>
    <t>VIS-017</t>
  </si>
  <si>
    <t>Texto</t>
  </si>
  <si>
    <t>No hay textos cortados</t>
  </si>
  <si>
    <t>Sin ellipsis innecesario en contenido clave</t>
  </si>
  <si>
    <t>VIS-018</t>
  </si>
  <si>
    <t>Contraste</t>
  </si>
  <si>
    <t>Textos sobre gradientes se leen</t>
  </si>
  <si>
    <t>Contraste suficiente</t>
  </si>
  <si>
    <t>VIS-019</t>
  </si>
  <si>
    <t>Hover</t>
  </si>
  <si>
    <t>Hover no mueve layout</t>
  </si>
  <si>
    <t>Desktop</t>
  </si>
  <si>
    <t>Solo feedback visual, sin saltos</t>
  </si>
  <si>
    <t>VIS-020</t>
  </si>
  <si>
    <t>Estado vacío</t>
  </si>
  <si>
    <t>Empty states no parecen error</t>
  </si>
  <si>
    <t>Mascotas / Mensajes / Explorar</t>
  </si>
  <si>
    <t>Mensaje claro y acción lógica</t>
  </si>
  <si>
    <t>VIS-021</t>
  </si>
  <si>
    <t>Iconos</t>
  </si>
  <si>
    <t>Iconos no quedan rotos o raros</t>
  </si>
  <si>
    <t>Hero / cards / menú</t>
  </si>
  <si>
    <t>Iconografía coherente</t>
  </si>
  <si>
    <t>VIS-022</t>
  </si>
  <si>
    <t>Espaciado</t>
  </si>
  <si>
    <t>No hay aire muerto excesivo</t>
  </si>
  <si>
    <t>Onboarding / Dashboard</t>
  </si>
  <si>
    <t>Pantalla balanceada</t>
  </si>
  <si>
    <t>VIS-023</t>
  </si>
  <si>
    <t>No hay bloques pegados</t>
  </si>
  <si>
    <t>Separaciones limpias</t>
  </si>
  <si>
    <t>VIS-024</t>
  </si>
  <si>
    <t>Color</t>
  </si>
  <si>
    <t>No reaparece amarillo no deseado</t>
  </si>
  <si>
    <t>Cards de marca</t>
  </si>
  <si>
    <t>Sin tarjetas con look de alerta salvo que corresponda</t>
  </si>
  <si>
    <t>VIS-025</t>
  </si>
  <si>
    <t>Cierre</t>
  </si>
  <si>
    <t>Botones inferiores no quedan cortados</t>
  </si>
  <si>
    <t>Onboarding / Formularios</t>
  </si>
  <si>
    <t>Botón visible y alineado</t>
  </si>
  <si>
    <t>Orden</t>
  </si>
  <si>
    <t>ID caso</t>
  </si>
  <si>
    <t>Caso crítico</t>
  </si>
  <si>
    <t>Motivo</t>
  </si>
  <si>
    <t>Bloqueante para release</t>
  </si>
  <si>
    <t>Regresión visual/funcional frecuente</t>
  </si>
  <si>
    <t>Guía de uso - Plan QA Mascotify</t>
  </si>
  <si>
    <t>Cómo usar esta plantilla</t>
  </si>
  <si>
    <t>Primero ejecutá los casos de la hoja Casos de test. Cambiá el Estado y completá Resultado obtenido, Responsable, Fecha y Bug ID si corresponde.</t>
  </si>
  <si>
    <t>Estados</t>
  </si>
  <si>
    <t>Pendiente = no probado. En prueba = en ejecución. Pasó = resultado correcto. Falló = bug encontrado. Bloqueado = no se pudo probar. No aplica = fuera del alcance actual.</t>
  </si>
  <si>
    <t>Prioridades</t>
  </si>
  <si>
    <t>Alta = puede bloquear release o flujo principal. Media = afecta experiencia o consistencia. Baja = mejora menor o detalle visual.</t>
  </si>
  <si>
    <t>Registro de bugs</t>
  </si>
  <si>
    <t>Cada caso fallido debería tener un Bug ID en la hoja Bugs encontrados. Adjuntá captura o link si tenés evidencia.</t>
  </si>
  <si>
    <t>Regresión crítica</t>
  </si>
  <si>
    <t>Antes de subir cambios a GitHub, corré la hoja Regresión crítica. Es la lista corta para no romper lo básico, porque aparentemente romper lo básico es deporte olímpico.</t>
  </si>
  <si>
    <t>Automatización</t>
  </si>
  <si>
    <t>Los casos marcados como Smoke/Widget/Integration son buenos candidatos para Codex cuando empiecen los tests automatizados.</t>
  </si>
  <si>
    <t>No automatizar todavía</t>
  </si>
  <si>
    <t>Golden tests visuales conviene dejarlos para después, cuando la UI deje de moverse cada cinco minutos como si tuviera vida propia.</t>
  </si>
  <si>
    <t>ian Bruzzone</t>
  </si>
  <si>
    <t>ianbruzzone</t>
  </si>
  <si>
    <t>Probado en Chrome desktop. La pantalla inicial carga correctamente, sin errores visibles.</t>
  </si>
  <si>
    <t>El inicio funciona correctamente, sin bugs ni errores visibles.</t>
  </si>
  <si>
    <t>Se cumple lo esperado. Al cambiar entre “Crear cuenta” e “Iniciar sesión”, el panel responde correctamente, mantiene el layout estable y no muestra saltos visuales ni overflow.</t>
  </si>
  <si>
    <t>Probado en Chrome desktop. Los botones del panel auth funcionan correctamente, sin bugs ni errores visibles.</t>
  </si>
  <si>
    <t>Resultado obtenido:
Se cumple lo esperado. En modo “Iniciar sesión” se ven correctamente los campos de email/usuario y contraseña, los botones principales y el acceso demo si corresponde.</t>
  </si>
  <si>
    <t>Probado en Chrome desktop. La pantalla de inicio de sesión funciona correctamente, sin bugs ni errores visibles.</t>
  </si>
  <si>
    <t>Se cumple lo esperado. En la pantalla “Crear cuenta” se ven todos los campos correctamente, sin solaparse, sin scroll interno raro y sin franjas de overflow.</t>
  </si>
  <si>
    <t>Probado en Chrome desktop. El formulario funciona correctamente en la resolución probada, sin bugs ni errores visibles.</t>
  </si>
  <si>
    <t>Se cumple lo esperado. Al hacer click en “Demo familia”, la app ingresa correctamente con el perfil familia demo y muestra el dashboard/home correspondiente sin errores.</t>
  </si>
  <si>
    <t>Probado en Chrome desktop. La navegación con demo familia funciona correctamente, sin bugs ni errores visibles.</t>
  </si>
  <si>
    <t>Se cumple lo esperado. Al hacer click en “Demo profesional”, la app ingresa correctamente con el perfil profesional demo y muestra el estado profesional correspondiente sin errores.</t>
  </si>
  <si>
    <t>Probado en Chrome desktop. La navegación con demo profesional funciona correctamente, sin bugs ni errores visibles.</t>
  </si>
  <si>
    <t>Se cumple lo esperado. Al dejar los campos vacíos y presionar el botón principal, la app muestra la validación correspondiente o bloquea el avance sin crashear.</t>
  </si>
  <si>
    <t>Probado en Chrome desktop. La validación funciona correctamente, no permite avanzar con campos vacíos y no se observan bugs ni errores visibles.</t>
  </si>
  <si>
    <t>Se cumple lo esperado a nivel visual. El botón de Google aparece correctamente en login y registro, no corta el logo ni el texto y mantiene un estilo consistente.</t>
  </si>
  <si>
    <t>Probado en Chrome desktop. El botón de Google se ve correctamente, pero el login/registro real con Google queda pendiente porque todavía falta configurar Firebase/Google Auth.</t>
  </si>
  <si>
    <t>No se pudo ejecutar la prueba completa porque el registro real depende de Firebase/Google Auth y todavía no está configurado en la app.</t>
  </si>
  <si>
    <t>Caso bloqueado por configuración externa pendiente. Retomar cuando Firebase/Google Auth esté configurado para validar creación real de cuenta y avance al onboarding.</t>
  </si>
  <si>
    <t>Se cumple lo esperado. Al ingresar un email inválido y presionar “Crear cuenta”, la app no avanza y muestra feedback/bloqueo correspondiente sin errores visibles.</t>
  </si>
  <si>
    <t>Probado en Chrome desktop. La validación de email inválido funciona correctamente, sin bugs ni errores visibles.</t>
  </si>
  <si>
    <t>Se cumple lo esperado. Al dejar la contraseña vacía o ingresar una contraseña corta, la app bloquea el avance y muestra una validación entendible sin crashear.</t>
  </si>
  <si>
    <t>Probado en Chrome desktop. La validación de contraseña funciona correctamente, sin bugs ni errores visibles.</t>
  </si>
  <si>
    <t>Se cumple lo esperado. Al seleccionar “Familia” y continuar, el onboarding muestra correctamente el perfil familia y el plan activo correspondiente, sin errores visibles.</t>
  </si>
  <si>
    <t>Se cumple lo esperado. Al seleccionar “Profesional” y continuar, el onboarding muestra correctamente el perfil profesional y el plan activo correspondiente, sin errores visibles.</t>
  </si>
  <si>
    <t>Caso revisado previamente en Chrome desktop. El flujo familia funciona correctamente, sin bugs ni errores visibles.</t>
  </si>
  <si>
    <t>Caso revisado previamente en Chrome desktop. El flujo profesional funciona correctamente, sin bugs ni errores visibles.</t>
  </si>
  <si>
    <t>Se cumple lo esperado. En resolución 1365x768, al alternar entre login y registro no aparecen franjas amarillas/negras, no hay overflow visible y no se observa scroll interno innecesario.</t>
  </si>
  <si>
    <t>Probado en Chrome desktop a 1365x768. La pantalla se mantiene estable al cambiar entre login y registro, sin errores visuales.</t>
  </si>
  <si>
    <t>Se cumple lo esperado. El panel demo se muestra correctamente y los botones de familia/profesional se ven alineados, legibles y sin comprimirse.</t>
  </si>
  <si>
    <t>Probado en Chrome desktop. El panel demo funciona correctamente, sin franjas raras, overflow ni errores visibles.</t>
  </si>
  <si>
    <t>Se cumple lo esperado. Al entrar con cuenta/demo y recargar el navegador, la app conserva correctamente la sesión o estado local según el diseño actual.</t>
  </si>
  <si>
    <t>Probado en Chrome desktop. El estado se mantiene correctamente después de recargar, sin bugs ni errores visibles.</t>
  </si>
  <si>
    <t>Se cumple lo esperado. El onboarding de familia muestra correctamente el título, la card superior, la cuenta pensada, la secuencia inicial y las señales del perfil elegido.</t>
  </si>
  <si>
    <t>Probado en Chrome desktop. Los textos principales del onboarding familia se ven correctamente, sin errores visibles.</t>
  </si>
  <si>
    <t>Se cumple lo esperado. Solo la card superior tiene el degradado aplicado, con orientación de rosa a la izquierda hacia celeste a la derecha.</t>
  </si>
  <si>
    <t>Probado en Chrome desktop. El degradado de la card superior se ve correctamente y no afecta otros bloques.</t>
  </si>
  <si>
    <t>Se cumple lo esperado. Los bloques inferiores mantienen el estilo normal previo, sin degradado masivo aplicado.</t>
  </si>
  <si>
    <t>Probado en Chrome desktop. Las secciones inferiores conservan su estilo correcto, sin errores visuales.</t>
  </si>
  <si>
    <t>Se cumple lo esperado. Los badges numéricos 1, 2 y 3 se ven cuadrados con bordes redondeados, no circulares.</t>
  </si>
  <si>
    <t>Probado en Chrome desktop. Los números de la secuencia inicial se ven correctamente, sin bugs ni errores visibles.</t>
  </si>
  <si>
    <t>Probado en Chrome desktop. Funciona correctamente, sin bugs ni errores visibles.</t>
  </si>
  <si>
    <t>Se cumple lo esperado. Al hacer click en “Continuar como familia”, la app avanza correctamente al home/dashboard familia sin errores visibles.</t>
  </si>
  <si>
    <t>Se cumple lo esperado. La pantalla se muestra completa, sin franjas amarillas/negras, sin contenido cortado y sin errores visuales.</t>
  </si>
  <si>
    <t>Se cumple lo esperado. El onboarding profesional muestra correctamente el título, la card superior, la cuenta pensada, la secuencia inicial y las señales del perfil elegido.</t>
  </si>
  <si>
    <t>Se cumple lo esperado. Al hacer click en “Continuar como profesional”, la app avanza correctamente al dashboard profesional sin errores visibles.</t>
  </si>
  <si>
    <t>Se cumple lo esperado. La pantalla de onboarding profesional entra correctamente en desktop normal y no presenta scroll innecesario ni errores visuales.</t>
  </si>
  <si>
    <t>Se cumple lo esperado. Al iniciar sesión o ingresar con demo, la app muestra correctamente el dashboard/home con los datos principales y sin errores visibles.</t>
  </si>
  <si>
    <t>Se cumple lo esperado. Cada acceso rápido realiza una acción coherente, navega o muestra el estado correspondiente, y permite volver al dashboard sin errores visibles.</t>
  </si>
  <si>
    <t>Se cumple lo esperado. El bloque de estado se lee como información de dashboard y no como una repetición visual idéntica de los accesos rápidos.</t>
  </si>
  <si>
    <t>Se cumple lo esperado. La sección de mascotas informa correctamente que no hay mascotas y ofrece una acción lógica sin romper el layout.</t>
  </si>
  <si>
    <t>Se cumple lo esperado. El dashboard en web se muestra completo, sin RenderFlex overflow, sin franjas amarillas/negras y sin contenido cortado.</t>
  </si>
  <si>
    <t>Se cumple lo esperado. La sección profesional muestra correctamente el nombre, email y chip de modo profesional del usuario.</t>
  </si>
  <si>
    <t>Se cumple lo esperado. Las cards y acciones clickeables cambian visualmente al pasar el mouse, sin saltos bruscos ni errores visuales.</t>
  </si>
  <si>
    <t>Se cumple lo esperado. Al navegar por las secciones, el menú marca correctamente el ítem activo correspondiente..</t>
  </si>
  <si>
    <t>Se cumple lo esperado. El fondo de la card muestra el degradado correctamente, empezando en rosa a la izquierda y terminando en celeste a la derecha.</t>
  </si>
  <si>
    <t>Observaciones: Probado en Chrome desktop. Funciona correctamente, sin bugs ni errores visibles.</t>
  </si>
  <si>
    <t>Se cumple lo esperado. La funcionalidad se muestra y responde correctamente, sin bugs ni errores visibles.</t>
  </si>
  <si>
    <t>Se cumple lo esperado. El campo “Edad” ya no permite ingresar letras o bloquea correctamente el dato inválido con una validación clara.</t>
  </si>
  <si>
    <t>Se cumple lo esperado. Al abrir el selector de sexo y elegir “Hembra” u otra opción disponible, el valor seleccionado queda visible y el layout no se rompe.</t>
  </si>
  <si>
    <t>Se cumple lo esperado. Al escribir una descripción larga, el campo controla correctamente el texto, no genera overflow y permite continuar sin errores visibles.</t>
  </si>
  <si>
    <t>Se cumple lo esperado. Al crear una mascota y volver al listado, la mascota aparece correctamente con sus datos principales.</t>
  </si>
  <si>
    <t>Se cumple lo esperado. Al abrir una mascota existente y entrar a su perfil, la ficha corresponde a esa mascota y no muestra datos incorrectos de otra.</t>
  </si>
  <si>
    <t>Se cumple lo esperado. Las acciones disponibles no modifican ni borran información sin una acción clara del usuario, y permiten cancelar o revisar la confirmación correctamente.</t>
  </si>
  <si>
    <t>Se cumple lo esperado. La card superior de Explorar/Ecosistema muestra el degradado correctamente, de rosa a la izquierda hacia celeste a la derecha, y se ve consistente.</t>
  </si>
  <si>
    <t>Se cumple lo esperado. Los chips se muestran correctamente, no se cortan, no se superponen y mantienen buena lectura visual.</t>
  </si>
  <si>
    <t>Se cumple lo esperado. Al entrar a Explorar, la pantalla muestra perfiles disponibles o un estado vacío claro, sin romper la app.</t>
  </si>
  <si>
    <t>Se cumple lo esperado. Al seleccionar una especie, los resultados cambian correctamente o se muestra un estado claro sin romper la pantalla.</t>
  </si>
  <si>
    <t>Se cumple lo esperado. Al seleccionar un filtro de sexo, el filtro se aplica correctamente o muestra un comportamiento futuro claro sin romper el listado.</t>
  </si>
  <si>
    <t>Se cumple lo esperado. Al ingresar una ubicación inválida y aplicar el filtro, la pantalla no crashea y muestra un estado sin resultados o feedback claro.</t>
  </si>
  <si>
    <t>Se cumple lo esperado. Al hacer click en un perfil visible, se abre el detalle del perfil seleccionado o el placeholder correspondiente sin errores.</t>
  </si>
  <si>
    <t>Se cumple lo esperado. Al aplicar filtros que no devuelven resultados, la app muestra un estado vacío claro y permite limpiar o revisar filtros si corresponde.</t>
  </si>
  <si>
    <t>Se cumple lo esperado. Al abrir la ficha de mascota, el QR se muestra correctamente si está implementado; si no, queda claro el estado futuro sin romper la pantalla.</t>
  </si>
  <si>
    <t>Se cumple lo esperado. Al ver el QR o identificador, recargar y volver a mirar, el dato se mantiene persistente si la función está implementada.</t>
  </si>
  <si>
    <t>Se cumple lo esperado. Al abrir mensajería, se muestra un empty state claro, sin errores ni datos fantasmas.</t>
  </si>
  <si>
    <t>Se cumple lo esperado. Al abrir una conversación existente o mock, la vista carga correctamente, sin pantalla blanca ni errores visibles.</t>
  </si>
  <si>
    <t>Se cumple lo esperado. Al hacer click en Configuración, la app abre la configuración real o una pantalla placeholder clara sin errores.</t>
  </si>
  <si>
    <t>Se cumple lo esperado. Al hacer click en Notificaciones, la app abre la sección o pantalla correspondiente sin crashear ni mostrar errores visibles.</t>
  </si>
  <si>
    <t>Se cumple lo esperado. Al hacer click en Suscripción, la app abre la sección o pantalla correspondiente sin crashear ni mostrar errores visibles.</t>
  </si>
  <si>
    <t>Se cumple lo esperado. El plan visible coincide correctamente con el tipo de cuenta activa en dashboard, perfil y onboarding.</t>
  </si>
  <si>
    <t>Se cumple lo esperado. Al entrar con usuario, recargar la app y revisar los datos, el nombre y email siguen disponibles según el diseño actual.</t>
  </si>
  <si>
    <t>Se cumple lo esperado. Al crear una mascota, recargar la app y abrir el listado, la mascota creada sigue visible correctamente.</t>
  </si>
  <si>
    <t>Se cumple lo esperado. Al activar o usar el perfil profesional y recargar la app, se conserva el modo profesional y los datos asociados.</t>
  </si>
  <si>
    <t>Se cumple lo esperado. Al cerrar sesión y volver a abrir la app, no se muestran datos privados del usuario anterior sin iniciar sesión.</t>
  </si>
  <si>
    <t>Se cumple lo esperado. Al revisar auth, onboarding, dashboard y mascotas, no se observan overflows, scrolls absurdos ni elementos cortados.</t>
  </si>
  <si>
    <t>Se cumple lo esperado. Las pantallas principales se ven equilibradas, sin compresión artificial, desbalance visual ni errores visibles.</t>
  </si>
  <si>
    <t>Se cumple lo esperado. Al reducir la altura, la app mantiene un scroll general limpio cuando hace falta, sin overflow visible ni scroll interno raro.</t>
  </si>
  <si>
    <t>Se cumple lo esperado. Con zoom al 125%, las pantallas críticas siguen siendo usables y, si aparece scroll, es razonable y no rompe la experiencia.</t>
  </si>
  <si>
    <t>Se cumple lo esperado. El foco avanza de forma lógica por campos y botones, y permite operar las acciones principales con Enter o Espacio.</t>
  </si>
  <si>
    <t>Se cumple lo esperado. Los textos se leen correctamente sobre fondos rosa, celeste y blancos, sin pérdida de contraste ni problemas visuales.</t>
  </si>
  <si>
    <t>Se cumple lo esperado. Los mensajes de error se entienden correctamente y no dependen únicamente del color para ser identificados.</t>
  </si>
  <si>
    <t>Se cumple lo esperado. La app carga en un tiempo razonable, sin loops, congelamientos ni errores visibles en la experiencia.</t>
  </si>
  <si>
    <t>Se cumple lo esperado. Al navegar repetidas veces entre secciones principales, no aparecen freezes, parpadeos graves ni acumulación rara de estado.</t>
  </si>
  <si>
    <t>Se cumple lo esperado. Al recorrer auth, onboarding, dashboard, mascotas y explorar, no aparecen RenderFlex overflow, excepciones ni errores de navegación.</t>
  </si>
  <si>
    <t>Se cumple lo esperado. Las cards de onboarding superior, perfil profesional y ecosistema social usan correctamente el degradado de rosa a la izquierda hacia celeste a la derecha.</t>
  </si>
  <si>
    <t>Se cumple lo esperado. Los botones “Ver perfil público” y “Abrir perfil público” mantienen el mismo estilo rosa sólido con texto blanco.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</si>
</sst>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name val="Carlito"/>
    </font>
    <font>
      <b/>
      <sz val="11"/>
      <color rgb="FFFFFFFF"/>
      <name val="Carlito"/>
    </font>
    <font>
      <sz val="10"/>
      <color rgb="FF263238"/>
      <name val="Carlito"/>
    </font>
    <font>
      <b/>
      <sz val="20"/>
      <color rgb="FF263238"/>
      <name val="Carlito"/>
    </font>
    <font>
      <sz val="11"/>
      <color rgb="FF64748B"/>
      <name val="Carlito"/>
    </font>
    <font>
      <sz val="10"/>
      <name val="Carlito"/>
    </font>
    <font>
      <b/>
      <sz val="18"/>
      <color rgb="FF263238"/>
      <name val="Carlito"/>
    </font>
    <font>
      <b/>
      <sz val="11"/>
      <color rgb="FFFF2F6D"/>
      <name val="Carlito"/>
    </font>
    <font>
      <sz val="11"/>
      <color rgb="FF26323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F2F6D"/>
      </patternFill>
    </fill>
    <fill>
      <patternFill patternType="solid">
        <fgColor rgb="FFEAFBFF"/>
      </patternFill>
    </fill>
    <fill>
      <patternFill patternType="solid">
        <fgColor rgb="FFFFF1F6"/>
      </patternFill>
    </fill>
    <fill>
      <patternFill patternType="solid">
        <fgColor rgb="FF25C8D5"/>
      </patternFill>
    </fill>
    <fill>
      <patternFill patternType="solid">
        <fgColor rgb="FFFFFFFF"/>
      </patternFill>
    </fill>
    <fill>
      <patternFill patternType="solid">
        <fgColor rgb="FF263238"/>
      </patternFill>
    </fill>
  </fills>
  <borders count="24">
    <border>
      <left/>
      <right/>
      <top/>
      <bottom/>
      <diagonal/>
    </border>
    <border>
      <left/>
      <right style="thin">
        <color rgb="FFE3EEF1"/>
      </right>
      <top/>
      <bottom style="thin">
        <color rgb="FFE3EEF1"/>
      </bottom>
      <diagonal/>
    </border>
    <border>
      <left style="thin">
        <color rgb="FFE3EEF1"/>
      </left>
      <right style="thin">
        <color rgb="FFE3EEF1"/>
      </right>
      <top/>
      <bottom style="thin">
        <color rgb="FFE3EEF1"/>
      </bottom>
      <diagonal/>
    </border>
    <border>
      <left style="thin">
        <color rgb="FFE3EEF1"/>
      </left>
      <right/>
      <top/>
      <bottom style="thin">
        <color rgb="FFE3EEF1"/>
      </bottom>
      <diagonal/>
    </border>
    <border>
      <left/>
      <right style="thin">
        <color rgb="FFE3EEF1"/>
      </right>
      <top style="thin">
        <color rgb="FFE3EEF1"/>
      </top>
      <bottom style="thin">
        <color rgb="FFE3EEF1"/>
      </bottom>
      <diagonal/>
    </border>
    <border>
      <left style="thin">
        <color rgb="FFE3EEF1"/>
      </left>
      <right style="thin">
        <color rgb="FFE3EEF1"/>
      </right>
      <top style="thin">
        <color rgb="FFE3EEF1"/>
      </top>
      <bottom style="thin">
        <color rgb="FFE3EEF1"/>
      </bottom>
      <diagonal/>
    </border>
    <border>
      <left style="thin">
        <color rgb="FFE3EEF1"/>
      </left>
      <right/>
      <top style="thin">
        <color rgb="FFE3EEF1"/>
      </top>
      <bottom style="thin">
        <color rgb="FFE3EEF1"/>
      </bottom>
      <diagonal/>
    </border>
    <border>
      <left/>
      <right style="thin">
        <color rgb="FFE3EEF1"/>
      </right>
      <top style="thin">
        <color rgb="FFE3EEF1"/>
      </top>
      <bottom/>
      <diagonal/>
    </border>
    <border>
      <left style="thin">
        <color rgb="FFE3EEF1"/>
      </left>
      <right style="thin">
        <color rgb="FFE3EEF1"/>
      </right>
      <top style="thin">
        <color rgb="FFE3EEF1"/>
      </top>
      <bottom/>
      <diagonal/>
    </border>
    <border>
      <left style="thin">
        <color rgb="FFE3EEF1"/>
      </left>
      <right/>
      <top style="thin">
        <color rgb="FFE3EEF1"/>
      </top>
      <bottom/>
      <diagonal/>
    </border>
    <border>
      <left style="thin">
        <color rgb="FFCFEFF5"/>
      </left>
      <right/>
      <top style="thin">
        <color rgb="FFCFEFF5"/>
      </top>
      <bottom/>
      <diagonal/>
    </border>
    <border>
      <left/>
      <right/>
      <top style="thin">
        <color rgb="FFCFEFF5"/>
      </top>
      <bottom/>
      <diagonal/>
    </border>
    <border>
      <left/>
      <right style="thin">
        <color rgb="FFCFEFF5"/>
      </right>
      <top style="thin">
        <color rgb="FFCFEFF5"/>
      </top>
      <bottom/>
      <diagonal/>
    </border>
    <border>
      <left style="thin">
        <color rgb="FFCFEFF5"/>
      </left>
      <right style="thin">
        <color rgb="FFE3EEF1"/>
      </right>
      <top/>
      <bottom style="thin">
        <color rgb="FFE3EEF1"/>
      </bottom>
      <diagonal/>
    </border>
    <border>
      <left style="thin">
        <color rgb="FFE3EEF1"/>
      </left>
      <right style="thin">
        <color rgb="FFCFEFF5"/>
      </right>
      <top/>
      <bottom style="thin">
        <color rgb="FFE3EEF1"/>
      </bottom>
      <diagonal/>
    </border>
    <border>
      <left style="thin">
        <color rgb="FFCFEFF5"/>
      </left>
      <right style="thin">
        <color rgb="FFE3EEF1"/>
      </right>
      <top style="thin">
        <color rgb="FFE3EEF1"/>
      </top>
      <bottom style="thin">
        <color rgb="FFE3EEF1"/>
      </bottom>
      <diagonal/>
    </border>
    <border>
      <left style="thin">
        <color rgb="FFE3EEF1"/>
      </left>
      <right style="thin">
        <color rgb="FFCFEFF5"/>
      </right>
      <top style="thin">
        <color rgb="FFE3EEF1"/>
      </top>
      <bottom style="thin">
        <color rgb="FFE3EEF1"/>
      </bottom>
      <diagonal/>
    </border>
    <border>
      <left style="thin">
        <color rgb="FFCFEFF5"/>
      </left>
      <right style="thin">
        <color rgb="FFE3EEF1"/>
      </right>
      <top style="thin">
        <color rgb="FFE3EEF1"/>
      </top>
      <bottom style="thin">
        <color rgb="FFCFEFF5"/>
      </bottom>
      <diagonal/>
    </border>
    <border>
      <left style="thin">
        <color rgb="FFE3EEF1"/>
      </left>
      <right style="thin">
        <color rgb="FFE3EEF1"/>
      </right>
      <top style="thin">
        <color rgb="FFE3EEF1"/>
      </top>
      <bottom style="thin">
        <color rgb="FFCFEFF5"/>
      </bottom>
      <diagonal/>
    </border>
    <border>
      <left style="thin">
        <color rgb="FFE3EEF1"/>
      </left>
      <right style="thin">
        <color rgb="FFCFEFF5"/>
      </right>
      <top style="thin">
        <color rgb="FFE3EEF1"/>
      </top>
      <bottom style="thin">
        <color rgb="FFCFEFF5"/>
      </bottom>
      <diagonal/>
    </border>
    <border>
      <left style="thin">
        <color rgb="FFCFEFF5"/>
      </left>
      <right/>
      <top/>
      <bottom/>
      <diagonal/>
    </border>
    <border>
      <left/>
      <right style="thin">
        <color rgb="FFCFEFF5"/>
      </right>
      <top/>
      <bottom/>
      <diagonal/>
    </border>
    <border>
      <left style="thin">
        <color rgb="FFCFEFF5"/>
      </left>
      <right/>
      <top/>
      <bottom style="thin">
        <color rgb="FFCFEFF5"/>
      </bottom>
      <diagonal/>
    </border>
    <border>
      <left/>
      <right style="thin">
        <color rgb="FFCFEFF5"/>
      </right>
      <top/>
      <bottom style="thin">
        <color rgb="FFCFEFF5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4" fontId="2" fillId="0" borderId="5" xfId="0" applyNumberFormat="1" applyFont="1" applyBorder="1" applyAlignment="1">
      <alignment vertical="top" wrapText="1"/>
    </xf>
    <xf numFmtId="164" fontId="2" fillId="0" borderId="18" xfId="0" applyNumberFormat="1" applyFont="1" applyBorder="1" applyAlignment="1">
      <alignment vertical="top" wrapText="1"/>
    </xf>
    <xf numFmtId="164" fontId="0" fillId="0" borderId="0" xfId="0" applyNumberFormat="1"/>
    <xf numFmtId="164" fontId="2" fillId="0" borderId="8" xfId="0" applyNumberFormat="1" applyFont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4" borderId="0" xfId="0" applyFont="1" applyFill="1" applyAlignment="1">
      <alignment vertical="top"/>
    </xf>
    <xf numFmtId="0" fontId="1" fillId="5" borderId="0" xfId="0" applyFont="1" applyFill="1" applyAlignment="1">
      <alignment horizontal="center" vertical="top"/>
    </xf>
    <xf numFmtId="0" fontId="1" fillId="6" borderId="10" xfId="0" applyFont="1" applyFill="1" applyBorder="1" applyAlignment="1">
      <alignment horizontal="center" vertical="top"/>
    </xf>
    <xf numFmtId="0" fontId="0" fillId="6" borderId="12" xfId="0" applyFill="1" applyBorder="1" applyAlignment="1">
      <alignment vertical="top"/>
    </xf>
    <xf numFmtId="0" fontId="0" fillId="6" borderId="10" xfId="0" applyFill="1" applyBorder="1" applyAlignment="1">
      <alignment vertical="top"/>
    </xf>
    <xf numFmtId="0" fontId="0" fillId="6" borderId="20" xfId="0" applyFill="1" applyBorder="1" applyAlignment="1">
      <alignment vertical="top"/>
    </xf>
    <xf numFmtId="0" fontId="0" fillId="6" borderId="21" xfId="0" applyFill="1" applyBorder="1" applyAlignment="1">
      <alignment vertical="top"/>
    </xf>
    <xf numFmtId="0" fontId="0" fillId="6" borderId="22" xfId="0" applyFill="1" applyBorder="1" applyAlignment="1">
      <alignment vertical="top"/>
    </xf>
    <xf numFmtId="0" fontId="0" fillId="6" borderId="23" xfId="0" applyFill="1" applyBorder="1" applyAlignment="1">
      <alignment vertical="top"/>
    </xf>
    <xf numFmtId="9" fontId="0" fillId="6" borderId="23" xfId="0" applyNumberFormat="1" applyFill="1" applyBorder="1" applyAlignment="1">
      <alignment vertical="top"/>
    </xf>
    <xf numFmtId="0" fontId="1" fillId="2" borderId="0" xfId="0" applyFont="1" applyFill="1" applyAlignment="1">
      <alignment horizontal="center" vertical="top"/>
    </xf>
    <xf numFmtId="0" fontId="5" fillId="6" borderId="1" xfId="0" applyFont="1" applyFill="1" applyBorder="1" applyAlignment="1">
      <alignment vertical="top"/>
    </xf>
    <xf numFmtId="0" fontId="5" fillId="6" borderId="3" xfId="0" applyFont="1" applyFill="1" applyBorder="1" applyAlignment="1">
      <alignment vertical="top"/>
    </xf>
    <xf numFmtId="0" fontId="5" fillId="6" borderId="4" xfId="0" applyFont="1" applyFill="1" applyBorder="1" applyAlignment="1">
      <alignment vertical="top"/>
    </xf>
    <xf numFmtId="0" fontId="5" fillId="6" borderId="6" xfId="0" applyFont="1" applyFill="1" applyBorder="1" applyAlignment="1">
      <alignment vertical="top"/>
    </xf>
    <xf numFmtId="0" fontId="5" fillId="6" borderId="7" xfId="0" applyFont="1" applyFill="1" applyBorder="1" applyAlignment="1">
      <alignment vertical="top"/>
    </xf>
    <xf numFmtId="0" fontId="5" fillId="6" borderId="9" xfId="0" applyFont="1" applyFill="1" applyBorder="1" applyAlignment="1">
      <alignment vertical="top"/>
    </xf>
    <xf numFmtId="0" fontId="1" fillId="2" borderId="10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6" fillId="3" borderId="1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</cellXfs>
  <cellStyles count="1">
    <cellStyle name="Normal" xfId="0" builtinId="0"/>
  </cellStyles>
  <dxfs count="18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0369A1"/>
      </font>
      <fill>
        <patternFill patternType="solid">
          <bgColor rgb="FFE0F2FE"/>
        </patternFill>
      </fill>
    </dxf>
    <dxf>
      <font>
        <b/>
        <color rgb="FFBE185D"/>
      </font>
      <fill>
        <patternFill patternType="solid">
          <bgColor rgb="FFFCE7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Estado de casos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'Resumen QA'!$D$5:$D$10</c:f>
              <c:strCache>
                <c:ptCount val="6"/>
                <c:pt idx="0">
                  <c:v>Pendiente</c:v>
                </c:pt>
                <c:pt idx="1">
                  <c:v>En prueba</c:v>
                </c:pt>
                <c:pt idx="2">
                  <c:v>Pasó</c:v>
                </c:pt>
                <c:pt idx="3">
                  <c:v>Falló</c:v>
                </c:pt>
                <c:pt idx="4">
                  <c:v>Bloqueado</c:v>
                </c:pt>
                <c:pt idx="5">
                  <c:v>No aplica</c:v>
                </c:pt>
              </c:strCache>
            </c:strRef>
          </c:cat>
          <c:val>
            <c:numRef>
              <c:f>'Resumen QA'!$E$5:$E$10</c:f>
              <c:numCache>
                <c:formatCode>General</c:formatCode>
                <c:ptCount val="6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C-42FE-A0F6-6322EC8E9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Casos por prioridad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'Resumen QA'!$G$5:$G$7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'Resumen QA'!$H$5:$H$7</c:f>
              <c:numCache>
                <c:formatCode>General</c:formatCode>
                <c:ptCount val="3"/>
                <c:pt idx="0">
                  <c:v>41</c:v>
                </c:pt>
                <c:pt idx="1">
                  <c:v>38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C-4BC5-A6EA-5C1CBA45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TestTable" displayName="CasosTestTable" ref="A1:R81">
  <tableColumns count="18">
    <tableColumn id="1" xr3:uid="{00000000-0010-0000-0000-000001000000}" name="ID"/>
    <tableColumn id="2" xr3:uid="{00000000-0010-0000-0000-000002000000}" name="Módulo"/>
    <tableColumn id="3" xr3:uid="{00000000-0010-0000-0000-000003000000}" name="Pantalla / Flujo"/>
    <tableColumn id="4" xr3:uid="{00000000-0010-0000-0000-000004000000}" name="Caso de prueba"/>
    <tableColumn id="5" xr3:uid="{00000000-0010-0000-0000-000005000000}" name="Prioridad"/>
    <tableColumn id="6" xr3:uid="{00000000-0010-0000-0000-000006000000}" name="Tipo"/>
    <tableColumn id="7" xr3:uid="{00000000-0010-0000-0000-000007000000}" name="Automatizable"/>
    <tableColumn id="8" xr3:uid="{00000000-0010-0000-0000-000008000000}" name="Automatización sugerida"/>
    <tableColumn id="9" xr3:uid="{00000000-0010-0000-0000-000009000000}" name="Estado"/>
    <tableColumn id="10" xr3:uid="{00000000-0010-0000-0000-00000A000000}" name="Precondición"/>
    <tableColumn id="11" xr3:uid="{00000000-0010-0000-0000-00000B000000}" name="Datos de prueba"/>
    <tableColumn id="12" xr3:uid="{00000000-0010-0000-0000-00000C000000}" name="Pasos"/>
    <tableColumn id="13" xr3:uid="{00000000-0010-0000-0000-00000D000000}" name="Resultado esperado"/>
    <tableColumn id="14" xr3:uid="{00000000-0010-0000-0000-00000E000000}" name="Resultado obtenido"/>
    <tableColumn id="15" xr3:uid="{00000000-0010-0000-0000-00000F000000}" name="Responsable"/>
    <tableColumn id="16" xr3:uid="{00000000-0010-0000-0000-000010000000}" name="Fecha ejecución"/>
    <tableColumn id="17" xr3:uid="{00000000-0010-0000-0000-000011000000}" name="Bug ID / Link"/>
    <tableColumn id="18" xr3:uid="{00000000-0010-0000-0000-000012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gsTable" displayName="BugsTable" ref="A1:O51">
  <tableColumns count="15">
    <tableColumn id="1" xr3:uid="{00000000-0010-0000-0100-000001000000}" name="Bug ID"/>
    <tableColumn id="2" xr3:uid="{00000000-0010-0000-0100-000002000000}" name="Fecha"/>
    <tableColumn id="3" xr3:uid="{00000000-0010-0000-0100-000003000000}" name="Caso relacionado"/>
    <tableColumn id="4" xr3:uid="{00000000-0010-0000-0100-000004000000}" name="Módulo"/>
    <tableColumn id="5" xr3:uid="{00000000-0010-0000-0100-000005000000}" name="Severidad"/>
    <tableColumn id="6" xr3:uid="{00000000-0010-0000-0100-000006000000}" name="Prioridad"/>
    <tableColumn id="7" xr3:uid="{00000000-0010-0000-0100-000007000000}" name="Estado"/>
    <tableColumn id="8" xr3:uid="{00000000-0010-0000-0100-000008000000}" name="Título"/>
    <tableColumn id="9" xr3:uid="{00000000-0010-0000-0100-000009000000}" name="Descripción"/>
    <tableColumn id="10" xr3:uid="{00000000-0010-0000-0100-00000A000000}" name="Pasos para reproducir"/>
    <tableColumn id="11" xr3:uid="{00000000-0010-0000-0100-00000B000000}" name="Resultado esperado"/>
    <tableColumn id="12" xr3:uid="{00000000-0010-0000-0100-00000C000000}" name="Resultado actual"/>
    <tableColumn id="13" xr3:uid="{00000000-0010-0000-0100-00000D000000}" name="Evidencia / captura"/>
    <tableColumn id="14" xr3:uid="{00000000-0010-0000-0100-00000E000000}" name="Responsable"/>
    <tableColumn id="15" xr3:uid="{00000000-0010-0000-0100-00000F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listVisualTable" displayName="ChecklistVisualTable" ref="A1:G26">
  <tableColumns count="7">
    <tableColumn id="1" xr3:uid="{00000000-0010-0000-0200-000001000000}" name="ID"/>
    <tableColumn id="2" xr3:uid="{00000000-0010-0000-0200-000002000000}" name="Área"/>
    <tableColumn id="3" xr3:uid="{00000000-0010-0000-0200-000003000000}" name="Chequeo visual"/>
    <tableColumn id="4" xr3:uid="{00000000-0010-0000-0200-000004000000}" name="Pantalla"/>
    <tableColumn id="5" xr3:uid="{00000000-0010-0000-0200-000005000000}" name="Resultado esperado"/>
    <tableColumn id="6" xr3:uid="{00000000-0010-0000-0200-000006000000}" name="Estado"/>
    <tableColumn id="7" xr3:uid="{00000000-0010-0000-0200-000007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resionCriticaTable" displayName="RegresionCriticaTable" ref="A1:G27">
  <tableColumns count="7">
    <tableColumn id="1" xr3:uid="{00000000-0010-0000-0300-000001000000}" name="Orden"/>
    <tableColumn id="2" xr3:uid="{00000000-0010-0000-0300-000002000000}" name="ID caso"/>
    <tableColumn id="3" xr3:uid="{00000000-0010-0000-0300-000003000000}" name="Módulo"/>
    <tableColumn id="4" xr3:uid="{00000000-0010-0000-0300-000004000000}" name="Caso crítico"/>
    <tableColumn id="5" xr3:uid="{00000000-0010-0000-0300-000005000000}" name="Motivo"/>
    <tableColumn id="6" xr3:uid="{00000000-0010-0000-0300-000006000000}" name="Estado"/>
    <tableColumn id="7" xr3:uid="{00000000-0010-0000-0300-000007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ascotify QA">
  <a:themeElements>
    <a:clrScheme name="Mascotify QA">
      <a:dk1>
        <a:srgbClr val="263238"/>
      </a:dk1>
      <a:lt1>
        <a:srgbClr val="FFFFFF"/>
      </a:lt1>
      <a:dk2>
        <a:srgbClr val="0E2841"/>
      </a:dk2>
      <a:lt2>
        <a:srgbClr val="F6FAFB"/>
      </a:lt2>
      <a:accent1>
        <a:srgbClr val="FF2F6D"/>
      </a:accent1>
      <a:accent2>
        <a:srgbClr val="25C8D5"/>
      </a:accent2>
      <a:accent3>
        <a:srgbClr val="0EA5A6"/>
      </a:accent3>
      <a:accent4>
        <a:srgbClr val="64748B"/>
      </a:accent4>
      <a:accent5>
        <a:srgbClr val="FDE7EF"/>
      </a:accent5>
      <a:accent6>
        <a:srgbClr val="EAFBFF"/>
      </a:accent6>
      <a:hlink>
        <a:srgbClr val="0EA5A6"/>
      </a:hlink>
      <a:folHlink>
        <a:srgbClr val="FF2F6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ascotify Q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activeCell="D16" sqref="D16"/>
    </sheetView>
  </sheetViews>
  <sheetFormatPr baseColWidth="10" defaultColWidth="9" defaultRowHeight="14.25"/>
  <cols>
    <col min="1" max="1" width="26" customWidth="1"/>
    <col min="2" max="2" width="14" customWidth="1"/>
    <col min="3" max="3" width="4" customWidth="1"/>
    <col min="4" max="4" width="20" customWidth="1"/>
    <col min="5" max="5" width="14" customWidth="1"/>
    <col min="6" max="6" width="4" customWidth="1"/>
    <col min="7" max="7" width="16" customWidth="1"/>
    <col min="8" max="8" width="14" customWidth="1"/>
  </cols>
  <sheetData>
    <row r="1" spans="1:8" ht="24.4" customHeight="1">
      <c r="A1" s="26" t="s">
        <v>0</v>
      </c>
      <c r="B1" s="26"/>
      <c r="C1" s="26"/>
      <c r="D1" s="26"/>
      <c r="E1" s="26"/>
      <c r="F1" s="26"/>
      <c r="G1" s="26"/>
      <c r="H1" s="27"/>
    </row>
    <row r="2" spans="1:8" ht="15" customHeight="1">
      <c r="A2" s="28" t="s">
        <v>1</v>
      </c>
      <c r="B2" s="28"/>
      <c r="C2" s="28"/>
      <c r="D2" s="28"/>
      <c r="E2" s="28"/>
      <c r="F2" s="28"/>
      <c r="G2" s="28"/>
      <c r="H2" s="27"/>
    </row>
    <row r="3" spans="1:8" ht="15" customHeight="1">
      <c r="A3" s="27"/>
      <c r="B3" s="27"/>
      <c r="C3" s="27"/>
      <c r="D3" s="27"/>
      <c r="E3" s="27"/>
      <c r="F3" s="27"/>
      <c r="G3" s="27"/>
      <c r="H3" s="27"/>
    </row>
    <row r="4" spans="1:8" ht="15" customHeight="1">
      <c r="A4" s="29" t="s">
        <v>2</v>
      </c>
      <c r="B4" s="29" t="s">
        <v>3</v>
      </c>
      <c r="C4" s="29"/>
      <c r="D4" s="29" t="s">
        <v>4</v>
      </c>
      <c r="E4" s="29" t="s">
        <v>5</v>
      </c>
      <c r="F4" s="29"/>
      <c r="G4" s="30" t="s">
        <v>6</v>
      </c>
      <c r="H4" s="31" t="s">
        <v>5</v>
      </c>
    </row>
    <row r="5" spans="1:8" ht="15" customHeight="1">
      <c r="A5" s="32" t="s">
        <v>7</v>
      </c>
      <c r="B5" s="31">
        <f>COUNTA('Casos de test'!A2:A500)</f>
        <v>80</v>
      </c>
      <c r="C5" s="27"/>
      <c r="D5" s="32" t="s">
        <v>8</v>
      </c>
      <c r="E5" s="31">
        <f>COUNTIF('Casos de test'!I2:I500,D5)</f>
        <v>80</v>
      </c>
      <c r="F5" s="27"/>
      <c r="G5" s="33" t="s">
        <v>9</v>
      </c>
      <c r="H5" s="34">
        <f>COUNTIF('Casos de test'!E2:E500,G5)</f>
        <v>41</v>
      </c>
    </row>
    <row r="6" spans="1:8" ht="15" customHeight="1">
      <c r="A6" s="33" t="s">
        <v>10</v>
      </c>
      <c r="B6" s="34">
        <f>COUNTIF('Casos de test'!I2:I500,"Pendiente")</f>
        <v>80</v>
      </c>
      <c r="C6" s="27"/>
      <c r="D6" s="33" t="s">
        <v>11</v>
      </c>
      <c r="E6" s="34">
        <f>COUNTIF('Casos de test'!I2:I500,D6)</f>
        <v>0</v>
      </c>
      <c r="F6" s="27"/>
      <c r="G6" s="33" t="s">
        <v>12</v>
      </c>
      <c r="H6" s="34">
        <f>COUNTIF('Casos de test'!E2:E500,G6)</f>
        <v>38</v>
      </c>
    </row>
    <row r="7" spans="1:8" ht="15" customHeight="1">
      <c r="A7" s="33" t="s">
        <v>13</v>
      </c>
      <c r="B7" s="34">
        <f>COUNTIF('Casos de test'!I2:I500,"Pasó")</f>
        <v>0</v>
      </c>
      <c r="C7" s="27"/>
      <c r="D7" s="33" t="s">
        <v>14</v>
      </c>
      <c r="E7" s="34">
        <f>COUNTIF('Casos de test'!I2:I500,D7)</f>
        <v>0</v>
      </c>
      <c r="F7" s="27"/>
      <c r="G7" s="35" t="s">
        <v>15</v>
      </c>
      <c r="H7" s="36">
        <f>COUNTIF('Casos de test'!E2:E500,G7)</f>
        <v>1</v>
      </c>
    </row>
    <row r="8" spans="1:8" ht="15" customHeight="1">
      <c r="A8" s="33" t="s">
        <v>16</v>
      </c>
      <c r="B8" s="34">
        <f>COUNTIF('Casos de test'!I2:I500,"Falló")</f>
        <v>0</v>
      </c>
      <c r="C8" s="27"/>
      <c r="D8" s="33" t="s">
        <v>17</v>
      </c>
      <c r="E8" s="34">
        <f>COUNTIF('Casos de test'!I2:I500,D8)</f>
        <v>0</v>
      </c>
      <c r="F8" s="27"/>
      <c r="G8" s="27"/>
      <c r="H8" s="27"/>
    </row>
    <row r="9" spans="1:8" ht="15" customHeight="1">
      <c r="A9" s="33" t="s">
        <v>18</v>
      </c>
      <c r="B9" s="34">
        <f>COUNTIF('Casos de test'!I2:I500,"Bloqueado")</f>
        <v>0</v>
      </c>
      <c r="C9" s="27"/>
      <c r="D9" s="33" t="s">
        <v>19</v>
      </c>
      <c r="E9" s="34">
        <f>COUNTIF('Casos de test'!I2:I500,D9)</f>
        <v>0</v>
      </c>
      <c r="F9" s="27"/>
      <c r="G9" s="27"/>
      <c r="H9" s="27"/>
    </row>
    <row r="10" spans="1:8" ht="15" customHeight="1">
      <c r="A10" s="33" t="s">
        <v>20</v>
      </c>
      <c r="B10" s="34">
        <f>COUNTIF('Casos de test'!I2:I500,"No aplica")</f>
        <v>0</v>
      </c>
      <c r="C10" s="27"/>
      <c r="D10" s="35" t="s">
        <v>21</v>
      </c>
      <c r="E10" s="36">
        <f>COUNTIF('Casos de test'!I2:I500,D10)</f>
        <v>0</v>
      </c>
      <c r="F10" s="27"/>
      <c r="G10" s="27"/>
      <c r="H10" s="27"/>
    </row>
    <row r="11" spans="1:8" ht="15" customHeight="1">
      <c r="A11" s="35" t="s">
        <v>22</v>
      </c>
      <c r="B11" s="37">
        <f>IF(B5=0,0,B7/B5)</f>
        <v>0</v>
      </c>
      <c r="C11" s="27"/>
      <c r="D11" s="27"/>
      <c r="E11" s="27"/>
      <c r="F11" s="27"/>
      <c r="G11" s="27"/>
      <c r="H11" s="27"/>
    </row>
    <row r="12" spans="1:8">
      <c r="A12" s="27"/>
      <c r="B12" s="27"/>
      <c r="C12" s="27"/>
      <c r="D12" s="27"/>
      <c r="E12" s="27"/>
      <c r="F12" s="27"/>
      <c r="G12" s="27"/>
      <c r="H12" s="27"/>
    </row>
    <row r="13" spans="1:8" ht="15" customHeight="1">
      <c r="A13" s="38" t="s">
        <v>23</v>
      </c>
      <c r="B13" s="38" t="s">
        <v>5</v>
      </c>
      <c r="C13" s="27"/>
      <c r="D13" s="27"/>
      <c r="E13" s="27"/>
      <c r="F13" s="27"/>
      <c r="G13" s="27"/>
      <c r="H13" s="27"/>
    </row>
    <row r="14" spans="1:8" ht="15" customHeight="1">
      <c r="A14" s="39" t="s">
        <v>24</v>
      </c>
      <c r="B14" s="40">
        <f>COUNTIF('Casos de test'!B2:B500,A14)</f>
        <v>3</v>
      </c>
      <c r="C14" s="27"/>
      <c r="D14" s="27"/>
      <c r="E14" s="27"/>
      <c r="F14" s="27"/>
      <c r="G14" s="27"/>
      <c r="H14" s="27"/>
    </row>
    <row r="15" spans="1:8" ht="15" customHeight="1">
      <c r="A15" s="41" t="s">
        <v>25</v>
      </c>
      <c r="B15" s="42">
        <f>COUNTIF('Casos de test'!B2:B500,A15)</f>
        <v>8</v>
      </c>
      <c r="C15" s="27"/>
      <c r="D15" s="27"/>
      <c r="E15" s="27"/>
      <c r="F15" s="27"/>
      <c r="G15" s="27"/>
      <c r="H15" s="27"/>
    </row>
    <row r="16" spans="1:8" ht="15" customHeight="1">
      <c r="A16" s="41" t="s">
        <v>26</v>
      </c>
      <c r="B16" s="42">
        <f>COUNTIF('Casos de test'!B2:B500,A16)</f>
        <v>1</v>
      </c>
      <c r="C16" s="27"/>
      <c r="D16" s="27"/>
      <c r="E16" s="27"/>
      <c r="F16" s="27"/>
      <c r="G16" s="27"/>
      <c r="H16" s="27"/>
    </row>
    <row r="17" spans="1:8" ht="15" customHeight="1">
      <c r="A17" s="41" t="s">
        <v>27</v>
      </c>
      <c r="B17" s="42">
        <f>COUNTIF('Casos de test'!B2:B500,A17)</f>
        <v>7</v>
      </c>
      <c r="C17" s="27"/>
      <c r="D17" s="27"/>
      <c r="E17" s="27"/>
      <c r="F17" s="27"/>
      <c r="G17" s="27"/>
      <c r="H17" s="27"/>
    </row>
    <row r="18" spans="1:8" ht="15" customHeight="1">
      <c r="A18" s="41" t="s">
        <v>28</v>
      </c>
      <c r="B18" s="42">
        <f>COUNTIF('Casos de test'!B2:B500,A18)</f>
        <v>2</v>
      </c>
      <c r="C18" s="27"/>
      <c r="D18" s="27"/>
      <c r="E18" s="27"/>
      <c r="F18" s="27"/>
      <c r="G18" s="27"/>
      <c r="H18" s="27"/>
    </row>
    <row r="19" spans="1:8" ht="15" customHeight="1">
      <c r="A19" s="41" t="s">
        <v>29</v>
      </c>
      <c r="B19" s="42">
        <f>COUNTIF('Casos de test'!B2:B500,A19)</f>
        <v>6</v>
      </c>
      <c r="C19" s="27"/>
      <c r="D19" s="27"/>
      <c r="E19" s="27"/>
      <c r="F19" s="27"/>
      <c r="G19" s="27"/>
      <c r="H19" s="27"/>
    </row>
    <row r="20" spans="1:8" ht="15" customHeight="1">
      <c r="A20" s="41" t="s">
        <v>30</v>
      </c>
      <c r="B20" s="42">
        <f>COUNTIF('Casos de test'!B2:B500,A20)</f>
        <v>10</v>
      </c>
      <c r="C20" s="27"/>
      <c r="D20" s="27"/>
      <c r="E20" s="27"/>
      <c r="F20" s="27"/>
      <c r="G20" s="27"/>
      <c r="H20" s="27"/>
    </row>
    <row r="21" spans="1:8" ht="15" customHeight="1">
      <c r="A21" s="41" t="s">
        <v>31</v>
      </c>
      <c r="B21" s="42">
        <f>COUNTIF('Casos de test'!B2:B500,A21)</f>
        <v>2</v>
      </c>
      <c r="C21" s="27"/>
      <c r="D21" s="27"/>
      <c r="E21" s="27"/>
      <c r="F21" s="27"/>
      <c r="G21" s="27"/>
      <c r="H21" s="27"/>
    </row>
    <row r="22" spans="1:8" ht="15" customHeight="1">
      <c r="A22" s="41" t="s">
        <v>32</v>
      </c>
      <c r="B22" s="42">
        <f>COUNTIF('Casos de test'!B2:B500,A22)</f>
        <v>6</v>
      </c>
      <c r="C22" s="27"/>
      <c r="D22" s="27"/>
      <c r="E22" s="27"/>
      <c r="F22" s="27"/>
      <c r="G22" s="27"/>
      <c r="H22" s="27"/>
    </row>
    <row r="23" spans="1:8" ht="15" customHeight="1">
      <c r="A23" s="41" t="s">
        <v>33</v>
      </c>
      <c r="B23" s="42">
        <f>COUNTIF('Casos de test'!B2:B500,A23)</f>
        <v>3</v>
      </c>
      <c r="C23" s="27"/>
      <c r="D23" s="27"/>
      <c r="E23" s="27"/>
      <c r="F23" s="27"/>
      <c r="G23" s="27"/>
      <c r="H23" s="27"/>
    </row>
    <row r="24" spans="1:8" ht="15" customHeight="1">
      <c r="A24" s="41" t="s">
        <v>34</v>
      </c>
      <c r="B24" s="42">
        <f>COUNTIF('Casos de test'!B2:B500,A24)</f>
        <v>6</v>
      </c>
      <c r="C24" s="27"/>
      <c r="D24" s="27"/>
      <c r="E24" s="27"/>
      <c r="F24" s="27"/>
      <c r="G24" s="27"/>
      <c r="H24" s="27"/>
    </row>
    <row r="25" spans="1:8" ht="15" customHeight="1">
      <c r="A25" s="41" t="s">
        <v>35</v>
      </c>
      <c r="B25" s="42">
        <f>COUNTIF('Casos de test'!B2:B500,A25)</f>
        <v>4</v>
      </c>
      <c r="C25" s="27"/>
      <c r="D25" s="27"/>
      <c r="E25" s="27"/>
      <c r="F25" s="27"/>
      <c r="G25" s="27"/>
      <c r="H25" s="27"/>
    </row>
    <row r="26" spans="1:8" ht="15" customHeight="1">
      <c r="A26" s="41" t="s">
        <v>36</v>
      </c>
      <c r="B26" s="42">
        <f>COUNTIF('Casos de test'!B2:B500,A26)</f>
        <v>4</v>
      </c>
      <c r="C26" s="27"/>
      <c r="D26" s="27"/>
      <c r="E26" s="27"/>
      <c r="F26" s="27"/>
      <c r="G26" s="27"/>
      <c r="H26" s="27"/>
    </row>
    <row r="27" spans="1:8" ht="15" customHeight="1">
      <c r="A27" s="41" t="s">
        <v>37</v>
      </c>
      <c r="B27" s="42">
        <f>COUNTIF('Casos de test'!B2:B500,A27)</f>
        <v>2</v>
      </c>
      <c r="C27" s="27"/>
      <c r="D27" s="27"/>
      <c r="E27" s="27"/>
      <c r="F27" s="27"/>
      <c r="G27" s="27"/>
      <c r="H27" s="27"/>
    </row>
    <row r="28" spans="1:8" ht="15" customHeight="1">
      <c r="A28" s="41" t="s">
        <v>38</v>
      </c>
      <c r="B28" s="42">
        <f>COUNTIF('Casos de test'!B2:B500,A28)</f>
        <v>8</v>
      </c>
      <c r="C28" s="27"/>
      <c r="D28" s="27"/>
      <c r="E28" s="27"/>
      <c r="F28" s="27"/>
      <c r="G28" s="27"/>
      <c r="H28" s="27"/>
    </row>
    <row r="29" spans="1:8" ht="15" customHeight="1">
      <c r="A29" s="41" t="s">
        <v>39</v>
      </c>
      <c r="B29" s="42">
        <f>COUNTIF('Casos de test'!B2:B500,A29)</f>
        <v>2</v>
      </c>
      <c r="C29" s="27"/>
      <c r="D29" s="27"/>
      <c r="E29" s="27"/>
      <c r="F29" s="27"/>
      <c r="G29" s="27"/>
      <c r="H29" s="27"/>
    </row>
    <row r="30" spans="1:8" ht="15" customHeight="1">
      <c r="A30" s="41" t="s">
        <v>40</v>
      </c>
      <c r="B30" s="42">
        <f>COUNTIF('Casos de test'!B2:B500,A30)</f>
        <v>2</v>
      </c>
      <c r="C30" s="27"/>
      <c r="D30" s="27"/>
      <c r="E30" s="27"/>
      <c r="F30" s="27"/>
      <c r="G30" s="27"/>
      <c r="H30" s="27"/>
    </row>
    <row r="31" spans="1:8" ht="15" customHeight="1">
      <c r="A31" s="43" t="s">
        <v>41</v>
      </c>
      <c r="B31" s="44">
        <f>COUNTIF('Casos de test'!B2:B500,A31)</f>
        <v>4</v>
      </c>
      <c r="C31" s="27"/>
      <c r="D31" s="27"/>
      <c r="E31" s="27"/>
      <c r="F31" s="27"/>
      <c r="G31" s="27"/>
      <c r="H31" s="27"/>
    </row>
    <row r="32" spans="1:8">
      <c r="A32" s="27"/>
      <c r="B32" s="27"/>
      <c r="C32" s="27"/>
      <c r="D32" s="27"/>
      <c r="E32" s="27"/>
      <c r="F32" s="27"/>
      <c r="G32" s="27"/>
      <c r="H32" s="27"/>
    </row>
    <row r="33" spans="1:8">
      <c r="A33" s="27"/>
      <c r="B33" s="27"/>
      <c r="C33" s="27"/>
      <c r="D33" s="27"/>
      <c r="E33" s="27"/>
      <c r="F33" s="27"/>
      <c r="G33" s="27"/>
      <c r="H33" s="27"/>
    </row>
    <row r="34" spans="1:8">
      <c r="A34" s="27"/>
      <c r="B34" s="27"/>
      <c r="C34" s="27"/>
      <c r="D34" s="27"/>
      <c r="E34" s="27"/>
      <c r="F34" s="27"/>
      <c r="G34" s="27"/>
      <c r="H34" s="27"/>
    </row>
    <row r="35" spans="1:8">
      <c r="A35" s="27"/>
      <c r="B35" s="27"/>
      <c r="C35" s="27"/>
      <c r="D35" s="27"/>
      <c r="E35" s="27"/>
      <c r="F35" s="27"/>
      <c r="G35" s="27"/>
      <c r="H35" s="27"/>
    </row>
    <row r="36" spans="1:8">
      <c r="A36" s="27"/>
      <c r="B36" s="27"/>
      <c r="C36" s="27"/>
      <c r="D36" s="27"/>
      <c r="E36" s="27"/>
      <c r="F36" s="27"/>
      <c r="G36" s="27"/>
      <c r="H36" s="27"/>
    </row>
    <row r="37" spans="1:8">
      <c r="A37" s="27"/>
      <c r="B37" s="27"/>
      <c r="C37" s="27"/>
      <c r="D37" s="27"/>
      <c r="E37" s="27"/>
      <c r="F37" s="27"/>
      <c r="G37" s="27"/>
      <c r="H37" s="27"/>
    </row>
    <row r="38" spans="1:8">
      <c r="A38" s="27"/>
      <c r="B38" s="27"/>
      <c r="C38" s="27"/>
      <c r="D38" s="27"/>
      <c r="E38" s="27"/>
      <c r="F38" s="27"/>
      <c r="G38" s="27"/>
      <c r="H38" s="27"/>
    </row>
    <row r="39" spans="1:8">
      <c r="A39" s="27"/>
      <c r="B39" s="27"/>
      <c r="C39" s="27"/>
      <c r="D39" s="27"/>
      <c r="E39" s="27"/>
      <c r="F39" s="27"/>
      <c r="G39" s="27"/>
      <c r="H39" s="27"/>
    </row>
    <row r="40" spans="1:8">
      <c r="A40" s="27"/>
      <c r="B40" s="27"/>
      <c r="C40" s="27"/>
      <c r="D40" s="27"/>
      <c r="E40" s="27"/>
      <c r="F40" s="27"/>
      <c r="G40" s="27"/>
      <c r="H40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0"/>
  <sheetViews>
    <sheetView tabSelected="1" topLeftCell="L29" zoomScale="70" zoomScaleNormal="70" workbookViewId="0">
      <selection activeCell="O81" sqref="O81"/>
    </sheetView>
  </sheetViews>
  <sheetFormatPr baseColWidth="10" defaultColWidth="9" defaultRowHeight="14.25"/>
  <cols>
    <col min="1" max="1" width="10" customWidth="1"/>
    <col min="2" max="2" width="18" customWidth="1"/>
    <col min="3" max="3" width="24" customWidth="1"/>
    <col min="4" max="4" width="38" customWidth="1"/>
    <col min="5" max="5" width="13" customWidth="1"/>
    <col min="6" max="6" width="16" customWidth="1"/>
    <col min="7" max="7" width="15" customWidth="1"/>
    <col min="8" max="8" width="22" customWidth="1"/>
    <col min="9" max="9" width="14" customWidth="1"/>
    <col min="10" max="10" width="28" customWidth="1"/>
    <col min="11" max="11" width="32" customWidth="1"/>
    <col min="12" max="13" width="58" customWidth="1"/>
    <col min="14" max="14" width="30" customWidth="1"/>
    <col min="15" max="15" width="18" customWidth="1"/>
    <col min="16" max="16" width="15" customWidth="1"/>
    <col min="17" max="17" width="22" customWidth="1"/>
    <col min="18" max="18" width="28" customWidth="1"/>
  </cols>
  <sheetData>
    <row r="1" spans="1:18" ht="33.950000000000003" customHeight="1">
      <c r="A1" s="45" t="s">
        <v>42</v>
      </c>
      <c r="B1" s="46" t="s">
        <v>43</v>
      </c>
      <c r="C1" s="46" t="s">
        <v>44</v>
      </c>
      <c r="D1" s="46" t="s">
        <v>45</v>
      </c>
      <c r="E1" s="46" t="s">
        <v>6</v>
      </c>
      <c r="F1" s="46" t="s">
        <v>46</v>
      </c>
      <c r="G1" s="46" t="s">
        <v>47</v>
      </c>
      <c r="H1" s="46" t="s">
        <v>48</v>
      </c>
      <c r="I1" s="46" t="s">
        <v>4</v>
      </c>
      <c r="J1" s="46" t="s">
        <v>49</v>
      </c>
      <c r="K1" s="46" t="s">
        <v>50</v>
      </c>
      <c r="L1" s="46" t="s">
        <v>51</v>
      </c>
      <c r="M1" s="46" t="s">
        <v>52</v>
      </c>
      <c r="N1" s="46" t="s">
        <v>53</v>
      </c>
      <c r="O1" s="46" t="s">
        <v>54</v>
      </c>
      <c r="P1" s="46" t="s">
        <v>55</v>
      </c>
      <c r="Q1" s="46" t="s">
        <v>56</v>
      </c>
      <c r="R1" s="47" t="s">
        <v>57</v>
      </c>
    </row>
    <row r="2" spans="1:18" ht="52.5" customHeight="1">
      <c r="A2" s="10" t="s">
        <v>58</v>
      </c>
      <c r="B2" s="2" t="s">
        <v>25</v>
      </c>
      <c r="C2" s="2" t="s">
        <v>59</v>
      </c>
      <c r="D2" s="2" t="s">
        <v>60</v>
      </c>
      <c r="E2" s="2" t="s">
        <v>9</v>
      </c>
      <c r="F2" s="2" t="s">
        <v>61</v>
      </c>
      <c r="G2" s="2" t="s">
        <v>62</v>
      </c>
      <c r="H2" s="2" t="s">
        <v>63</v>
      </c>
      <c r="I2" s="2" t="s">
        <v>8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714</v>
      </c>
      <c r="O2" s="2" t="s">
        <v>712</v>
      </c>
      <c r="P2" s="17">
        <v>46139</v>
      </c>
      <c r="Q2" s="2"/>
      <c r="R2" s="11" t="s">
        <v>715</v>
      </c>
    </row>
    <row r="3" spans="1:18" ht="76.5" customHeight="1">
      <c r="A3" s="12" t="s">
        <v>68</v>
      </c>
      <c r="B3" s="5" t="s">
        <v>25</v>
      </c>
      <c r="C3" s="5" t="s">
        <v>69</v>
      </c>
      <c r="D3" s="5" t="s">
        <v>70</v>
      </c>
      <c r="E3" s="5" t="s">
        <v>9</v>
      </c>
      <c r="F3" s="5" t="s">
        <v>71</v>
      </c>
      <c r="G3" s="5" t="s">
        <v>62</v>
      </c>
      <c r="H3" s="5" t="s">
        <v>72</v>
      </c>
      <c r="I3" s="5" t="s">
        <v>8</v>
      </c>
      <c r="J3" s="5" t="s">
        <v>73</v>
      </c>
      <c r="K3" s="5" t="s">
        <v>74</v>
      </c>
      <c r="L3" s="5" t="s">
        <v>75</v>
      </c>
      <c r="M3" s="5" t="s">
        <v>76</v>
      </c>
      <c r="N3" s="5" t="s">
        <v>716</v>
      </c>
      <c r="O3" s="5" t="s">
        <v>712</v>
      </c>
      <c r="P3" s="18">
        <v>46139</v>
      </c>
      <c r="Q3" s="5"/>
      <c r="R3" s="13" t="s">
        <v>717</v>
      </c>
    </row>
    <row r="4" spans="1:18" ht="86.25" customHeight="1">
      <c r="A4" s="12" t="s">
        <v>77</v>
      </c>
      <c r="B4" s="5" t="s">
        <v>25</v>
      </c>
      <c r="C4" s="5" t="s">
        <v>78</v>
      </c>
      <c r="D4" s="5" t="s">
        <v>79</v>
      </c>
      <c r="E4" s="5" t="s">
        <v>9</v>
      </c>
      <c r="F4" s="5" t="s">
        <v>71</v>
      </c>
      <c r="G4" s="5" t="s">
        <v>62</v>
      </c>
      <c r="H4" s="5" t="s">
        <v>72</v>
      </c>
      <c r="I4" s="5" t="s">
        <v>8</v>
      </c>
      <c r="J4" s="5" t="s">
        <v>73</v>
      </c>
      <c r="K4" s="5" t="s">
        <v>80</v>
      </c>
      <c r="L4" s="5" t="s">
        <v>81</v>
      </c>
      <c r="M4" s="5" t="s">
        <v>82</v>
      </c>
      <c r="N4" s="5" t="s">
        <v>718</v>
      </c>
      <c r="O4" s="5" t="s">
        <v>712</v>
      </c>
      <c r="P4" s="18">
        <v>46139</v>
      </c>
      <c r="Q4" s="5"/>
      <c r="R4" s="13" t="s">
        <v>719</v>
      </c>
    </row>
    <row r="5" spans="1:18" ht="87" customHeight="1">
      <c r="A5" s="12" t="s">
        <v>83</v>
      </c>
      <c r="B5" s="5" t="s">
        <v>25</v>
      </c>
      <c r="C5" s="5" t="s">
        <v>84</v>
      </c>
      <c r="D5" s="5" t="s">
        <v>85</v>
      </c>
      <c r="E5" s="5" t="s">
        <v>9</v>
      </c>
      <c r="F5" s="5" t="s">
        <v>71</v>
      </c>
      <c r="G5" s="5" t="s">
        <v>62</v>
      </c>
      <c r="H5" s="5" t="s">
        <v>72</v>
      </c>
      <c r="I5" s="5" t="s">
        <v>8</v>
      </c>
      <c r="J5" s="5" t="s">
        <v>73</v>
      </c>
      <c r="K5" s="5" t="s">
        <v>86</v>
      </c>
      <c r="L5" s="5" t="s">
        <v>87</v>
      </c>
      <c r="M5" s="5" t="s">
        <v>88</v>
      </c>
      <c r="N5" s="5" t="s">
        <v>720</v>
      </c>
      <c r="O5" s="5" t="s">
        <v>713</v>
      </c>
      <c r="P5" s="18">
        <v>46139</v>
      </c>
      <c r="Q5" s="5"/>
      <c r="R5" s="13" t="s">
        <v>721</v>
      </c>
    </row>
    <row r="6" spans="1:18" ht="69.75" customHeight="1">
      <c r="A6" s="12" t="s">
        <v>89</v>
      </c>
      <c r="B6" s="5" t="s">
        <v>25</v>
      </c>
      <c r="C6" s="5" t="s">
        <v>90</v>
      </c>
      <c r="D6" s="5" t="s">
        <v>91</v>
      </c>
      <c r="E6" s="5" t="s">
        <v>9</v>
      </c>
      <c r="F6" s="5" t="s">
        <v>71</v>
      </c>
      <c r="G6" s="5" t="s">
        <v>62</v>
      </c>
      <c r="H6" s="5" t="s">
        <v>92</v>
      </c>
      <c r="I6" s="5" t="s">
        <v>8</v>
      </c>
      <c r="J6" s="5" t="s">
        <v>93</v>
      </c>
      <c r="K6" s="5" t="s">
        <v>94</v>
      </c>
      <c r="L6" s="5" t="s">
        <v>95</v>
      </c>
      <c r="M6" s="5" t="s">
        <v>96</v>
      </c>
      <c r="N6" s="5" t="s">
        <v>722</v>
      </c>
      <c r="O6" s="5" t="s">
        <v>713</v>
      </c>
      <c r="P6" s="18">
        <v>46139</v>
      </c>
      <c r="Q6" s="5"/>
      <c r="R6" s="13" t="s">
        <v>723</v>
      </c>
    </row>
    <row r="7" spans="1:18" ht="74.25" customHeight="1">
      <c r="A7" s="12" t="s">
        <v>97</v>
      </c>
      <c r="B7" s="5" t="s">
        <v>25</v>
      </c>
      <c r="C7" s="5" t="s">
        <v>90</v>
      </c>
      <c r="D7" s="5" t="s">
        <v>98</v>
      </c>
      <c r="E7" s="5" t="s">
        <v>9</v>
      </c>
      <c r="F7" s="5" t="s">
        <v>71</v>
      </c>
      <c r="G7" s="5" t="s">
        <v>62</v>
      </c>
      <c r="H7" s="5" t="s">
        <v>92</v>
      </c>
      <c r="I7" s="5" t="s">
        <v>8</v>
      </c>
      <c r="J7" s="5" t="s">
        <v>93</v>
      </c>
      <c r="K7" s="5" t="s">
        <v>99</v>
      </c>
      <c r="L7" s="5" t="s">
        <v>100</v>
      </c>
      <c r="M7" s="5" t="s">
        <v>101</v>
      </c>
      <c r="N7" s="5" t="s">
        <v>724</v>
      </c>
      <c r="O7" s="5" t="s">
        <v>713</v>
      </c>
      <c r="P7" s="18">
        <v>46139</v>
      </c>
      <c r="Q7" s="5"/>
      <c r="R7" s="13" t="s">
        <v>725</v>
      </c>
    </row>
    <row r="8" spans="1:18" ht="81" customHeight="1">
      <c r="A8" s="12" t="s">
        <v>102</v>
      </c>
      <c r="B8" s="5" t="s">
        <v>25</v>
      </c>
      <c r="C8" s="5" t="s">
        <v>103</v>
      </c>
      <c r="D8" s="5" t="s">
        <v>104</v>
      </c>
      <c r="E8" s="5" t="s">
        <v>9</v>
      </c>
      <c r="F8" s="5" t="s">
        <v>105</v>
      </c>
      <c r="G8" s="5" t="s">
        <v>62</v>
      </c>
      <c r="H8" s="5" t="s">
        <v>72</v>
      </c>
      <c r="I8" s="5" t="s">
        <v>8</v>
      </c>
      <c r="J8" s="5" t="s">
        <v>106</v>
      </c>
      <c r="K8" s="5" t="s">
        <v>107</v>
      </c>
      <c r="L8" s="5" t="s">
        <v>108</v>
      </c>
      <c r="M8" s="5" t="s">
        <v>109</v>
      </c>
      <c r="N8" s="5" t="s">
        <v>726</v>
      </c>
      <c r="O8" s="5" t="s">
        <v>713</v>
      </c>
      <c r="P8" s="18">
        <v>46139</v>
      </c>
      <c r="Q8" s="5"/>
      <c r="R8" s="13" t="s">
        <v>727</v>
      </c>
    </row>
    <row r="9" spans="1:18" ht="95.25" customHeight="1">
      <c r="A9" s="12" t="s">
        <v>110</v>
      </c>
      <c r="B9" s="5" t="s">
        <v>25</v>
      </c>
      <c r="C9" s="5" t="s">
        <v>111</v>
      </c>
      <c r="D9" s="5" t="s">
        <v>112</v>
      </c>
      <c r="E9" s="5" t="s">
        <v>12</v>
      </c>
      <c r="F9" s="5" t="s">
        <v>113</v>
      </c>
      <c r="G9" s="5" t="s">
        <v>114</v>
      </c>
      <c r="H9" s="5" t="s">
        <v>115</v>
      </c>
      <c r="I9" s="5" t="s">
        <v>8</v>
      </c>
      <c r="J9" s="5" t="s">
        <v>73</v>
      </c>
      <c r="K9" s="5" t="s">
        <v>116</v>
      </c>
      <c r="L9" s="5" t="s">
        <v>117</v>
      </c>
      <c r="M9" s="5" t="s">
        <v>118</v>
      </c>
      <c r="N9" s="5" t="s">
        <v>728</v>
      </c>
      <c r="O9" s="5" t="s">
        <v>713</v>
      </c>
      <c r="P9" s="18">
        <v>46139</v>
      </c>
      <c r="Q9" s="5"/>
      <c r="R9" s="13" t="s">
        <v>729</v>
      </c>
    </row>
    <row r="10" spans="1:18" ht="83.25" customHeight="1">
      <c r="A10" s="12" t="s">
        <v>119</v>
      </c>
      <c r="B10" s="5" t="s">
        <v>38</v>
      </c>
      <c r="C10" s="5" t="s">
        <v>120</v>
      </c>
      <c r="D10" s="5" t="s">
        <v>121</v>
      </c>
      <c r="E10" s="5" t="s">
        <v>9</v>
      </c>
      <c r="F10" s="5" t="s">
        <v>71</v>
      </c>
      <c r="G10" s="5" t="s">
        <v>62</v>
      </c>
      <c r="H10" s="5" t="s">
        <v>92</v>
      </c>
      <c r="I10" s="5" t="s">
        <v>8</v>
      </c>
      <c r="J10" s="5" t="s">
        <v>122</v>
      </c>
      <c r="K10" s="5" t="s">
        <v>123</v>
      </c>
      <c r="L10" s="5" t="s">
        <v>124</v>
      </c>
      <c r="M10" s="5" t="s">
        <v>125</v>
      </c>
      <c r="N10" s="5" t="s">
        <v>730</v>
      </c>
      <c r="O10" s="5" t="s">
        <v>713</v>
      </c>
      <c r="P10" s="18">
        <v>46139</v>
      </c>
      <c r="Q10" s="5"/>
      <c r="R10" s="13" t="s">
        <v>731</v>
      </c>
    </row>
    <row r="11" spans="1:18" ht="69.75" customHeight="1">
      <c r="A11" s="12" t="s">
        <v>126</v>
      </c>
      <c r="B11" s="5" t="s">
        <v>38</v>
      </c>
      <c r="C11" s="5" t="s">
        <v>120</v>
      </c>
      <c r="D11" s="5" t="s">
        <v>127</v>
      </c>
      <c r="E11" s="5" t="s">
        <v>9</v>
      </c>
      <c r="F11" s="5" t="s">
        <v>105</v>
      </c>
      <c r="G11" s="5" t="s">
        <v>62</v>
      </c>
      <c r="H11" s="5" t="s">
        <v>72</v>
      </c>
      <c r="I11" s="5" t="s">
        <v>8</v>
      </c>
      <c r="J11" s="5" t="s">
        <v>122</v>
      </c>
      <c r="K11" s="5" t="s">
        <v>128</v>
      </c>
      <c r="L11" s="5" t="s">
        <v>129</v>
      </c>
      <c r="M11" s="5" t="s">
        <v>130</v>
      </c>
      <c r="N11" s="5" t="s">
        <v>732</v>
      </c>
      <c r="O11" s="5" t="s">
        <v>713</v>
      </c>
      <c r="P11" s="18">
        <v>46139</v>
      </c>
      <c r="Q11" s="5"/>
      <c r="R11" s="13" t="s">
        <v>733</v>
      </c>
    </row>
    <row r="12" spans="1:18" ht="92.25" customHeight="1">
      <c r="A12" s="12" t="s">
        <v>131</v>
      </c>
      <c r="B12" s="5" t="s">
        <v>38</v>
      </c>
      <c r="C12" s="5" t="s">
        <v>120</v>
      </c>
      <c r="D12" s="5" t="s">
        <v>132</v>
      </c>
      <c r="E12" s="5" t="s">
        <v>9</v>
      </c>
      <c r="F12" s="5" t="s">
        <v>105</v>
      </c>
      <c r="G12" s="5" t="s">
        <v>62</v>
      </c>
      <c r="H12" s="5" t="s">
        <v>72</v>
      </c>
      <c r="I12" s="5" t="s">
        <v>8</v>
      </c>
      <c r="J12" s="5" t="s">
        <v>122</v>
      </c>
      <c r="K12" s="5" t="s">
        <v>133</v>
      </c>
      <c r="L12" s="5" t="s">
        <v>134</v>
      </c>
      <c r="M12" s="5" t="s">
        <v>135</v>
      </c>
      <c r="N12" s="5" t="s">
        <v>734</v>
      </c>
      <c r="O12" s="5" t="s">
        <v>713</v>
      </c>
      <c r="P12" s="18">
        <v>46139</v>
      </c>
      <c r="Q12" s="5"/>
      <c r="R12" s="13" t="s">
        <v>735</v>
      </c>
    </row>
    <row r="13" spans="1:18" ht="106.5" customHeight="1">
      <c r="A13" s="12" t="s">
        <v>136</v>
      </c>
      <c r="B13" s="5" t="s">
        <v>38</v>
      </c>
      <c r="C13" s="5" t="s">
        <v>137</v>
      </c>
      <c r="D13" s="5" t="s">
        <v>138</v>
      </c>
      <c r="E13" s="5" t="s">
        <v>9</v>
      </c>
      <c r="F13" s="5" t="s">
        <v>71</v>
      </c>
      <c r="G13" s="5" t="s">
        <v>62</v>
      </c>
      <c r="H13" s="5" t="s">
        <v>92</v>
      </c>
      <c r="I13" s="5" t="s">
        <v>8</v>
      </c>
      <c r="J13" s="5" t="s">
        <v>139</v>
      </c>
      <c r="K13" s="5" t="s">
        <v>140</v>
      </c>
      <c r="L13" s="5" t="s">
        <v>141</v>
      </c>
      <c r="M13" s="5" t="s">
        <v>142</v>
      </c>
      <c r="N13" s="5" t="s">
        <v>736</v>
      </c>
      <c r="O13" s="5" t="s">
        <v>713</v>
      </c>
      <c r="P13" s="18">
        <v>46139</v>
      </c>
      <c r="Q13" s="5"/>
      <c r="R13" s="13" t="s">
        <v>738</v>
      </c>
    </row>
    <row r="14" spans="1:18" ht="104.25" customHeight="1">
      <c r="A14" s="12" t="s">
        <v>143</v>
      </c>
      <c r="B14" s="5" t="s">
        <v>38</v>
      </c>
      <c r="C14" s="5" t="s">
        <v>137</v>
      </c>
      <c r="D14" s="5" t="s">
        <v>144</v>
      </c>
      <c r="E14" s="5" t="s">
        <v>9</v>
      </c>
      <c r="F14" s="5" t="s">
        <v>71</v>
      </c>
      <c r="G14" s="5" t="s">
        <v>62</v>
      </c>
      <c r="H14" s="5" t="s">
        <v>92</v>
      </c>
      <c r="I14" s="5" t="s">
        <v>8</v>
      </c>
      <c r="J14" s="5" t="s">
        <v>139</v>
      </c>
      <c r="K14" s="5" t="s">
        <v>145</v>
      </c>
      <c r="L14" s="5" t="s">
        <v>146</v>
      </c>
      <c r="M14" s="5" t="s">
        <v>147</v>
      </c>
      <c r="N14" s="5" t="s">
        <v>737</v>
      </c>
      <c r="O14" s="5" t="s">
        <v>713</v>
      </c>
      <c r="P14" s="18">
        <v>46139</v>
      </c>
      <c r="Q14" s="5"/>
      <c r="R14" s="13" t="s">
        <v>739</v>
      </c>
    </row>
    <row r="15" spans="1:18" ht="89.25" customHeight="1">
      <c r="A15" s="12" t="s">
        <v>148</v>
      </c>
      <c r="B15" s="5" t="s">
        <v>38</v>
      </c>
      <c r="C15" s="5" t="s">
        <v>149</v>
      </c>
      <c r="D15" s="5" t="s">
        <v>150</v>
      </c>
      <c r="E15" s="5" t="s">
        <v>9</v>
      </c>
      <c r="F15" s="5" t="s">
        <v>113</v>
      </c>
      <c r="G15" s="5" t="s">
        <v>114</v>
      </c>
      <c r="H15" s="5" t="s">
        <v>115</v>
      </c>
      <c r="I15" s="5" t="s">
        <v>8</v>
      </c>
      <c r="J15" s="5" t="s">
        <v>151</v>
      </c>
      <c r="K15" s="5" t="s">
        <v>152</v>
      </c>
      <c r="L15" s="5" t="s">
        <v>153</v>
      </c>
      <c r="M15" s="5" t="s">
        <v>154</v>
      </c>
      <c r="N15" s="5" t="s">
        <v>740</v>
      </c>
      <c r="O15" s="5" t="s">
        <v>713</v>
      </c>
      <c r="P15" s="18">
        <v>46139</v>
      </c>
      <c r="Q15" s="5"/>
      <c r="R15" s="13" t="s">
        <v>741</v>
      </c>
    </row>
    <row r="16" spans="1:18" ht="104.25" customHeight="1">
      <c r="A16" s="12" t="s">
        <v>155</v>
      </c>
      <c r="B16" s="5" t="s">
        <v>38</v>
      </c>
      <c r="C16" s="5" t="s">
        <v>156</v>
      </c>
      <c r="D16" s="5" t="s">
        <v>157</v>
      </c>
      <c r="E16" s="5" t="s">
        <v>12</v>
      </c>
      <c r="F16" s="5" t="s">
        <v>113</v>
      </c>
      <c r="G16" s="5" t="s">
        <v>114</v>
      </c>
      <c r="H16" s="5" t="s">
        <v>115</v>
      </c>
      <c r="I16" s="5" t="s">
        <v>8</v>
      </c>
      <c r="J16" s="5" t="s">
        <v>158</v>
      </c>
      <c r="K16" s="5" t="s">
        <v>159</v>
      </c>
      <c r="L16" s="5" t="s">
        <v>160</v>
      </c>
      <c r="M16" s="5" t="s">
        <v>161</v>
      </c>
      <c r="N16" s="5" t="s">
        <v>742</v>
      </c>
      <c r="O16" s="5" t="s">
        <v>713</v>
      </c>
      <c r="P16" s="18">
        <v>46139</v>
      </c>
      <c r="Q16" s="5"/>
      <c r="R16" s="13" t="s">
        <v>743</v>
      </c>
    </row>
    <row r="17" spans="1:18" ht="84" customHeight="1">
      <c r="A17" s="12" t="s">
        <v>162</v>
      </c>
      <c r="B17" s="5" t="s">
        <v>38</v>
      </c>
      <c r="C17" s="5" t="s">
        <v>163</v>
      </c>
      <c r="D17" s="5" t="s">
        <v>164</v>
      </c>
      <c r="E17" s="5" t="s">
        <v>9</v>
      </c>
      <c r="F17" s="5" t="s">
        <v>165</v>
      </c>
      <c r="G17" s="5" t="s">
        <v>62</v>
      </c>
      <c r="H17" s="5" t="s">
        <v>92</v>
      </c>
      <c r="I17" s="5" t="s">
        <v>8</v>
      </c>
      <c r="J17" s="5" t="s">
        <v>166</v>
      </c>
      <c r="K17" s="5" t="s">
        <v>167</v>
      </c>
      <c r="L17" s="5" t="s">
        <v>168</v>
      </c>
      <c r="M17" s="5" t="s">
        <v>169</v>
      </c>
      <c r="N17" s="5" t="s">
        <v>744</v>
      </c>
      <c r="O17" s="5" t="s">
        <v>713</v>
      </c>
      <c r="P17" s="18">
        <v>46139</v>
      </c>
      <c r="Q17" s="5"/>
      <c r="R17" s="13" t="s">
        <v>745</v>
      </c>
    </row>
    <row r="18" spans="1:18" ht="84" customHeight="1">
      <c r="A18" s="12" t="s">
        <v>170</v>
      </c>
      <c r="B18" s="5" t="s">
        <v>32</v>
      </c>
      <c r="C18" s="5" t="s">
        <v>171</v>
      </c>
      <c r="D18" s="5" t="s">
        <v>172</v>
      </c>
      <c r="E18" s="5" t="s">
        <v>9</v>
      </c>
      <c r="F18" s="5" t="s">
        <v>71</v>
      </c>
      <c r="G18" s="5" t="s">
        <v>62</v>
      </c>
      <c r="H18" s="5" t="s">
        <v>72</v>
      </c>
      <c r="I18" s="5" t="s">
        <v>8</v>
      </c>
      <c r="J18" s="5" t="s">
        <v>173</v>
      </c>
      <c r="K18" s="5" t="s">
        <v>174</v>
      </c>
      <c r="L18" s="5" t="s">
        <v>175</v>
      </c>
      <c r="M18" s="5" t="s">
        <v>176</v>
      </c>
      <c r="N18" s="5" t="s">
        <v>746</v>
      </c>
      <c r="O18" s="5" t="s">
        <v>713</v>
      </c>
      <c r="P18" s="18">
        <v>46139</v>
      </c>
      <c r="Q18" s="5"/>
      <c r="R18" s="13" t="s">
        <v>747</v>
      </c>
    </row>
    <row r="19" spans="1:18" ht="93.75" customHeight="1">
      <c r="A19" s="12" t="s">
        <v>177</v>
      </c>
      <c r="B19" s="5" t="s">
        <v>32</v>
      </c>
      <c r="C19" s="5" t="s">
        <v>178</v>
      </c>
      <c r="D19" s="5" t="s">
        <v>179</v>
      </c>
      <c r="E19" s="5" t="s">
        <v>12</v>
      </c>
      <c r="F19" s="5" t="s">
        <v>113</v>
      </c>
      <c r="G19" s="5" t="s">
        <v>114</v>
      </c>
      <c r="H19" s="5" t="s">
        <v>115</v>
      </c>
      <c r="I19" s="5" t="s">
        <v>8</v>
      </c>
      <c r="J19" s="5" t="s">
        <v>180</v>
      </c>
      <c r="K19" s="5" t="s">
        <v>152</v>
      </c>
      <c r="L19" s="5" t="s">
        <v>181</v>
      </c>
      <c r="M19" s="5" t="s">
        <v>182</v>
      </c>
      <c r="N19" s="5" t="s">
        <v>748</v>
      </c>
      <c r="O19" s="5" t="s">
        <v>713</v>
      </c>
      <c r="P19" s="18">
        <v>46139</v>
      </c>
      <c r="Q19" s="5"/>
      <c r="R19" s="13" t="s">
        <v>749</v>
      </c>
    </row>
    <row r="20" spans="1:18" ht="96.75" customHeight="1">
      <c r="A20" s="12" t="s">
        <v>183</v>
      </c>
      <c r="B20" s="5" t="s">
        <v>32</v>
      </c>
      <c r="C20" s="5" t="s">
        <v>184</v>
      </c>
      <c r="D20" s="5" t="s">
        <v>185</v>
      </c>
      <c r="E20" s="5" t="s">
        <v>12</v>
      </c>
      <c r="F20" s="5" t="s">
        <v>113</v>
      </c>
      <c r="G20" s="5" t="s">
        <v>114</v>
      </c>
      <c r="H20" s="5" t="s">
        <v>115</v>
      </c>
      <c r="I20" s="5" t="s">
        <v>8</v>
      </c>
      <c r="J20" s="5" t="s">
        <v>180</v>
      </c>
      <c r="K20" s="5" t="s">
        <v>186</v>
      </c>
      <c r="L20" s="5" t="s">
        <v>187</v>
      </c>
      <c r="M20" s="5" t="s">
        <v>188</v>
      </c>
      <c r="N20" s="5" t="s">
        <v>750</v>
      </c>
      <c r="O20" s="5" t="s">
        <v>713</v>
      </c>
      <c r="P20" s="18">
        <v>46139</v>
      </c>
      <c r="Q20" s="5"/>
      <c r="R20" s="13" t="s">
        <v>751</v>
      </c>
    </row>
    <row r="21" spans="1:18" ht="108.75" customHeight="1">
      <c r="A21" s="12" t="s">
        <v>189</v>
      </c>
      <c r="B21" s="5" t="s">
        <v>32</v>
      </c>
      <c r="C21" s="5" t="s">
        <v>190</v>
      </c>
      <c r="D21" s="5" t="s">
        <v>191</v>
      </c>
      <c r="E21" s="5" t="s">
        <v>12</v>
      </c>
      <c r="F21" s="5" t="s">
        <v>113</v>
      </c>
      <c r="G21" s="5" t="s">
        <v>114</v>
      </c>
      <c r="H21" s="5" t="s">
        <v>115</v>
      </c>
      <c r="I21" s="5" t="s">
        <v>8</v>
      </c>
      <c r="J21" s="5" t="s">
        <v>180</v>
      </c>
      <c r="K21" s="5" t="s">
        <v>192</v>
      </c>
      <c r="L21" s="5" t="s">
        <v>193</v>
      </c>
      <c r="M21" s="5" t="s">
        <v>194</v>
      </c>
      <c r="N21" s="5" t="s">
        <v>752</v>
      </c>
      <c r="O21" s="5" t="s">
        <v>713</v>
      </c>
      <c r="P21" s="18">
        <v>46139</v>
      </c>
      <c r="Q21" s="5"/>
      <c r="R21" s="13" t="s">
        <v>753</v>
      </c>
    </row>
    <row r="22" spans="1:18" ht="102" customHeight="1">
      <c r="A22" s="12" t="s">
        <v>195</v>
      </c>
      <c r="B22" s="5" t="s">
        <v>32</v>
      </c>
      <c r="C22" s="5" t="s">
        <v>196</v>
      </c>
      <c r="D22" s="5" t="s">
        <v>197</v>
      </c>
      <c r="E22" s="5" t="s">
        <v>9</v>
      </c>
      <c r="F22" s="5" t="s">
        <v>71</v>
      </c>
      <c r="G22" s="5" t="s">
        <v>62</v>
      </c>
      <c r="H22" s="5" t="s">
        <v>92</v>
      </c>
      <c r="I22" s="5" t="s">
        <v>8</v>
      </c>
      <c r="J22" s="5" t="s">
        <v>180</v>
      </c>
      <c r="K22" s="5" t="s">
        <v>198</v>
      </c>
      <c r="L22" s="5" t="s">
        <v>199</v>
      </c>
      <c r="M22" s="5" t="s">
        <v>200</v>
      </c>
      <c r="N22" s="5" t="s">
        <v>755</v>
      </c>
      <c r="O22" s="5" t="s">
        <v>713</v>
      </c>
      <c r="P22" s="18">
        <v>46139</v>
      </c>
      <c r="Q22" s="5"/>
      <c r="R22" s="13" t="s">
        <v>754</v>
      </c>
    </row>
    <row r="23" spans="1:18" ht="99" customHeight="1">
      <c r="A23" s="12" t="s">
        <v>201</v>
      </c>
      <c r="B23" s="5" t="s">
        <v>32</v>
      </c>
      <c r="C23" s="5" t="s">
        <v>202</v>
      </c>
      <c r="D23" s="5" t="s">
        <v>203</v>
      </c>
      <c r="E23" s="5" t="s">
        <v>9</v>
      </c>
      <c r="F23" s="5" t="s">
        <v>113</v>
      </c>
      <c r="G23" s="5" t="s">
        <v>114</v>
      </c>
      <c r="H23" s="5" t="s">
        <v>115</v>
      </c>
      <c r="I23" s="5" t="s">
        <v>8</v>
      </c>
      <c r="J23" s="5" t="s">
        <v>204</v>
      </c>
      <c r="K23" s="5" t="s">
        <v>205</v>
      </c>
      <c r="L23" s="5" t="s">
        <v>206</v>
      </c>
      <c r="M23" s="5" t="s">
        <v>207</v>
      </c>
      <c r="N23" s="5" t="s">
        <v>756</v>
      </c>
      <c r="O23" s="5" t="s">
        <v>713</v>
      </c>
      <c r="P23" s="18">
        <v>46139</v>
      </c>
      <c r="Q23" s="5"/>
      <c r="R23" s="13" t="s">
        <v>754</v>
      </c>
    </row>
    <row r="24" spans="1:18" ht="113.25" customHeight="1">
      <c r="A24" s="12" t="s">
        <v>208</v>
      </c>
      <c r="B24" s="5" t="s">
        <v>33</v>
      </c>
      <c r="C24" s="5" t="s">
        <v>171</v>
      </c>
      <c r="D24" s="5" t="s">
        <v>209</v>
      </c>
      <c r="E24" s="5" t="s">
        <v>9</v>
      </c>
      <c r="F24" s="5" t="s">
        <v>71</v>
      </c>
      <c r="G24" s="5" t="s">
        <v>62</v>
      </c>
      <c r="H24" s="5" t="s">
        <v>72</v>
      </c>
      <c r="I24" s="5" t="s">
        <v>8</v>
      </c>
      <c r="J24" s="5" t="s">
        <v>210</v>
      </c>
      <c r="K24" s="5" t="s">
        <v>211</v>
      </c>
      <c r="L24" s="5" t="s">
        <v>212</v>
      </c>
      <c r="M24" s="5" t="s">
        <v>213</v>
      </c>
      <c r="N24" s="5" t="s">
        <v>757</v>
      </c>
      <c r="O24" s="5" t="s">
        <v>713</v>
      </c>
      <c r="P24" s="18">
        <v>46139</v>
      </c>
      <c r="Q24" s="5"/>
      <c r="R24" s="13" t="s">
        <v>754</v>
      </c>
    </row>
    <row r="25" spans="1:18" ht="106.5" customHeight="1">
      <c r="A25" s="12" t="s">
        <v>214</v>
      </c>
      <c r="B25" s="5" t="s">
        <v>33</v>
      </c>
      <c r="C25" s="5" t="s">
        <v>196</v>
      </c>
      <c r="D25" s="5" t="s">
        <v>215</v>
      </c>
      <c r="E25" s="5" t="s">
        <v>9</v>
      </c>
      <c r="F25" s="5" t="s">
        <v>71</v>
      </c>
      <c r="G25" s="5" t="s">
        <v>62</v>
      </c>
      <c r="H25" s="5" t="s">
        <v>92</v>
      </c>
      <c r="I25" s="5" t="s">
        <v>8</v>
      </c>
      <c r="J25" s="5" t="s">
        <v>216</v>
      </c>
      <c r="K25" s="5" t="s">
        <v>198</v>
      </c>
      <c r="L25" s="5" t="s">
        <v>217</v>
      </c>
      <c r="M25" s="5" t="s">
        <v>218</v>
      </c>
      <c r="N25" s="5" t="s">
        <v>758</v>
      </c>
      <c r="O25" s="5" t="s">
        <v>713</v>
      </c>
      <c r="P25" s="18">
        <v>46139</v>
      </c>
      <c r="Q25" s="5"/>
      <c r="R25" s="13" t="s">
        <v>754</v>
      </c>
    </row>
    <row r="26" spans="1:18" ht="106.5" customHeight="1">
      <c r="A26" s="12" t="s">
        <v>219</v>
      </c>
      <c r="B26" s="5" t="s">
        <v>33</v>
      </c>
      <c r="C26" s="5" t="s">
        <v>202</v>
      </c>
      <c r="D26" s="5" t="s">
        <v>220</v>
      </c>
      <c r="E26" s="5" t="s">
        <v>9</v>
      </c>
      <c r="F26" s="5" t="s">
        <v>113</v>
      </c>
      <c r="G26" s="5" t="s">
        <v>114</v>
      </c>
      <c r="H26" s="5" t="s">
        <v>115</v>
      </c>
      <c r="I26" s="5" t="s">
        <v>8</v>
      </c>
      <c r="J26" s="5" t="s">
        <v>216</v>
      </c>
      <c r="K26" s="5" t="s">
        <v>205</v>
      </c>
      <c r="L26" s="5" t="s">
        <v>221</v>
      </c>
      <c r="M26" s="5" t="s">
        <v>222</v>
      </c>
      <c r="N26" s="5" t="s">
        <v>759</v>
      </c>
      <c r="O26" s="5" t="s">
        <v>713</v>
      </c>
      <c r="P26" s="18">
        <v>46139</v>
      </c>
      <c r="Q26" s="5"/>
      <c r="R26" s="13" t="s">
        <v>754</v>
      </c>
    </row>
    <row r="27" spans="1:18" ht="106.5" customHeight="1">
      <c r="A27" s="12" t="s">
        <v>223</v>
      </c>
      <c r="B27" s="5" t="s">
        <v>27</v>
      </c>
      <c r="C27" s="5" t="s">
        <v>224</v>
      </c>
      <c r="D27" s="5" t="s">
        <v>225</v>
      </c>
      <c r="E27" s="5" t="s">
        <v>9</v>
      </c>
      <c r="F27" s="5" t="s">
        <v>61</v>
      </c>
      <c r="G27" s="5" t="s">
        <v>62</v>
      </c>
      <c r="H27" s="5" t="s">
        <v>63</v>
      </c>
      <c r="I27" s="5" t="s">
        <v>8</v>
      </c>
      <c r="J27" s="5" t="s">
        <v>226</v>
      </c>
      <c r="K27" s="5" t="s">
        <v>227</v>
      </c>
      <c r="L27" s="5" t="s">
        <v>228</v>
      </c>
      <c r="M27" s="5" t="s">
        <v>229</v>
      </c>
      <c r="N27" s="5" t="s">
        <v>760</v>
      </c>
      <c r="O27" s="5" t="s">
        <v>713</v>
      </c>
      <c r="P27" s="18">
        <v>46139</v>
      </c>
      <c r="Q27" s="5"/>
      <c r="R27" s="13" t="s">
        <v>754</v>
      </c>
    </row>
    <row r="28" spans="1:18" ht="106.5" customHeight="1">
      <c r="A28" s="12" t="s">
        <v>230</v>
      </c>
      <c r="B28" s="5" t="s">
        <v>27</v>
      </c>
      <c r="C28" s="5" t="s">
        <v>231</v>
      </c>
      <c r="D28" s="5" t="s">
        <v>232</v>
      </c>
      <c r="E28" s="5" t="s">
        <v>9</v>
      </c>
      <c r="F28" s="5" t="s">
        <v>71</v>
      </c>
      <c r="G28" s="5" t="s">
        <v>62</v>
      </c>
      <c r="H28" s="5" t="s">
        <v>92</v>
      </c>
      <c r="I28" s="5" t="s">
        <v>8</v>
      </c>
      <c r="J28" s="5" t="s">
        <v>233</v>
      </c>
      <c r="K28" s="5" t="s">
        <v>234</v>
      </c>
      <c r="L28" s="5" t="s">
        <v>235</v>
      </c>
      <c r="M28" s="5" t="s">
        <v>236</v>
      </c>
      <c r="N28" s="5" t="s">
        <v>761</v>
      </c>
      <c r="O28" s="5" t="s">
        <v>713</v>
      </c>
      <c r="P28" s="18">
        <v>46139</v>
      </c>
      <c r="Q28" s="5"/>
      <c r="R28" s="13" t="s">
        <v>754</v>
      </c>
    </row>
    <row r="29" spans="1:18" ht="105.75" customHeight="1">
      <c r="A29" s="12" t="s">
        <v>237</v>
      </c>
      <c r="B29" s="5" t="s">
        <v>27</v>
      </c>
      <c r="C29" s="5" t="s">
        <v>238</v>
      </c>
      <c r="D29" s="5" t="s">
        <v>239</v>
      </c>
      <c r="E29" s="5" t="s">
        <v>12</v>
      </c>
      <c r="F29" s="5" t="s">
        <v>113</v>
      </c>
      <c r="G29" s="5" t="s">
        <v>114</v>
      </c>
      <c r="H29" s="5" t="s">
        <v>115</v>
      </c>
      <c r="I29" s="5" t="s">
        <v>8</v>
      </c>
      <c r="J29" s="5" t="s">
        <v>233</v>
      </c>
      <c r="K29" s="5" t="s">
        <v>240</v>
      </c>
      <c r="L29" s="5" t="s">
        <v>241</v>
      </c>
      <c r="M29" s="5" t="s">
        <v>242</v>
      </c>
      <c r="N29" s="5" t="s">
        <v>762</v>
      </c>
      <c r="O29" s="5" t="s">
        <v>713</v>
      </c>
      <c r="P29" s="18">
        <v>46139</v>
      </c>
      <c r="Q29" s="5"/>
      <c r="R29" s="13" t="s">
        <v>754</v>
      </c>
    </row>
    <row r="30" spans="1:18" ht="105.75" customHeight="1">
      <c r="A30" s="12" t="s">
        <v>243</v>
      </c>
      <c r="B30" s="5" t="s">
        <v>27</v>
      </c>
      <c r="C30" s="5" t="s">
        <v>244</v>
      </c>
      <c r="D30" s="5" t="s">
        <v>245</v>
      </c>
      <c r="E30" s="5" t="s">
        <v>9</v>
      </c>
      <c r="F30" s="5" t="s">
        <v>71</v>
      </c>
      <c r="G30" s="5" t="s">
        <v>62</v>
      </c>
      <c r="H30" s="5" t="s">
        <v>72</v>
      </c>
      <c r="I30" s="5" t="s">
        <v>8</v>
      </c>
      <c r="J30" s="5" t="s">
        <v>246</v>
      </c>
      <c r="K30" s="5" t="s">
        <v>247</v>
      </c>
      <c r="L30" s="5" t="s">
        <v>248</v>
      </c>
      <c r="M30" s="5" t="s">
        <v>249</v>
      </c>
      <c r="N30" s="5" t="s">
        <v>763</v>
      </c>
      <c r="O30" s="5" t="s">
        <v>713</v>
      </c>
      <c r="P30" s="18">
        <v>46139</v>
      </c>
      <c r="Q30" s="5"/>
      <c r="R30" s="13" t="s">
        <v>754</v>
      </c>
    </row>
    <row r="31" spans="1:18" ht="103.5" customHeight="1">
      <c r="A31" s="12" t="s">
        <v>250</v>
      </c>
      <c r="B31" s="5" t="s">
        <v>27</v>
      </c>
      <c r="C31" s="5" t="s">
        <v>251</v>
      </c>
      <c r="D31" s="5" t="s">
        <v>252</v>
      </c>
      <c r="E31" s="5" t="s">
        <v>15</v>
      </c>
      <c r="F31" s="5" t="s">
        <v>113</v>
      </c>
      <c r="G31" s="5" t="s">
        <v>114</v>
      </c>
      <c r="H31" s="5" t="s">
        <v>115</v>
      </c>
      <c r="I31" s="5" t="s">
        <v>8</v>
      </c>
      <c r="J31" s="5" t="s">
        <v>253</v>
      </c>
      <c r="K31" s="5" t="s">
        <v>254</v>
      </c>
      <c r="L31" s="5" t="s">
        <v>255</v>
      </c>
      <c r="M31" s="5" t="s">
        <v>256</v>
      </c>
      <c r="N31" s="5" t="s">
        <v>766</v>
      </c>
      <c r="O31" s="5" t="s">
        <v>713</v>
      </c>
      <c r="P31" s="18">
        <v>46139</v>
      </c>
      <c r="Q31" s="5"/>
      <c r="R31" s="13" t="s">
        <v>754</v>
      </c>
    </row>
    <row r="32" spans="1:18" ht="104.25" customHeight="1">
      <c r="A32" s="12" t="s">
        <v>257</v>
      </c>
      <c r="B32" s="5" t="s">
        <v>27</v>
      </c>
      <c r="C32" s="5" t="s">
        <v>258</v>
      </c>
      <c r="D32" s="5" t="s">
        <v>259</v>
      </c>
      <c r="E32" s="5" t="s">
        <v>12</v>
      </c>
      <c r="F32" s="5" t="s">
        <v>71</v>
      </c>
      <c r="G32" s="5" t="s">
        <v>62</v>
      </c>
      <c r="H32" s="5" t="s">
        <v>72</v>
      </c>
      <c r="I32" s="5" t="s">
        <v>8</v>
      </c>
      <c r="J32" s="5" t="s">
        <v>226</v>
      </c>
      <c r="K32" s="5" t="s">
        <v>260</v>
      </c>
      <c r="L32" s="5" t="s">
        <v>261</v>
      </c>
      <c r="M32" s="5" t="s">
        <v>262</v>
      </c>
      <c r="N32" s="5" t="s">
        <v>767</v>
      </c>
      <c r="O32" s="5" t="s">
        <v>713</v>
      </c>
      <c r="P32" s="18">
        <v>46139</v>
      </c>
      <c r="Q32" s="5"/>
      <c r="R32" s="13" t="s">
        <v>754</v>
      </c>
    </row>
    <row r="33" spans="1:18" ht="111.75" customHeight="1">
      <c r="A33" s="12" t="s">
        <v>263</v>
      </c>
      <c r="B33" s="5" t="s">
        <v>27</v>
      </c>
      <c r="C33" s="5" t="s">
        <v>264</v>
      </c>
      <c r="D33" s="5" t="s">
        <v>265</v>
      </c>
      <c r="E33" s="5" t="s">
        <v>9</v>
      </c>
      <c r="F33" s="5" t="s">
        <v>113</v>
      </c>
      <c r="G33" s="5" t="s">
        <v>114</v>
      </c>
      <c r="H33" s="5" t="s">
        <v>115</v>
      </c>
      <c r="I33" s="5" t="s">
        <v>8</v>
      </c>
      <c r="J33" s="5" t="s">
        <v>233</v>
      </c>
      <c r="K33" s="5" t="s">
        <v>266</v>
      </c>
      <c r="L33" s="5" t="s">
        <v>267</v>
      </c>
      <c r="M33" s="5" t="s">
        <v>268</v>
      </c>
      <c r="N33" s="5" t="s">
        <v>764</v>
      </c>
      <c r="O33" s="5" t="s">
        <v>713</v>
      </c>
      <c r="P33" s="18">
        <v>46139</v>
      </c>
      <c r="Q33" s="5"/>
      <c r="R33" s="13" t="s">
        <v>754</v>
      </c>
    </row>
    <row r="34" spans="1:18" ht="104.25" customHeight="1">
      <c r="A34" s="12" t="s">
        <v>269</v>
      </c>
      <c r="B34" s="5" t="s">
        <v>34</v>
      </c>
      <c r="C34" s="5" t="s">
        <v>270</v>
      </c>
      <c r="D34" s="5" t="s">
        <v>271</v>
      </c>
      <c r="E34" s="5" t="s">
        <v>9</v>
      </c>
      <c r="F34" s="5" t="s">
        <v>71</v>
      </c>
      <c r="G34" s="5" t="s">
        <v>62</v>
      </c>
      <c r="H34" s="5" t="s">
        <v>72</v>
      </c>
      <c r="I34" s="5" t="s">
        <v>8</v>
      </c>
      <c r="J34" s="5" t="s">
        <v>272</v>
      </c>
      <c r="K34" s="5" t="s">
        <v>273</v>
      </c>
      <c r="L34" s="5" t="s">
        <v>274</v>
      </c>
      <c r="M34" s="5" t="s">
        <v>275</v>
      </c>
      <c r="N34" s="5" t="s">
        <v>765</v>
      </c>
      <c r="O34" s="5" t="s">
        <v>713</v>
      </c>
      <c r="P34" s="18">
        <v>46139</v>
      </c>
      <c r="Q34" s="5"/>
      <c r="R34" s="13" t="s">
        <v>754</v>
      </c>
    </row>
    <row r="35" spans="1:18" ht="108.75" customHeight="1">
      <c r="A35" s="12" t="s">
        <v>276</v>
      </c>
      <c r="B35" s="5" t="s">
        <v>34</v>
      </c>
      <c r="C35" s="5" t="s">
        <v>270</v>
      </c>
      <c r="D35" s="5" t="s">
        <v>277</v>
      </c>
      <c r="E35" s="5" t="s">
        <v>12</v>
      </c>
      <c r="F35" s="5" t="s">
        <v>113</v>
      </c>
      <c r="G35" s="5" t="s">
        <v>114</v>
      </c>
      <c r="H35" s="5" t="s">
        <v>115</v>
      </c>
      <c r="I35" s="5" t="s">
        <v>8</v>
      </c>
      <c r="J35" s="5" t="s">
        <v>278</v>
      </c>
      <c r="K35" s="5" t="s">
        <v>152</v>
      </c>
      <c r="L35" s="5" t="s">
        <v>279</v>
      </c>
      <c r="M35" s="5" t="s">
        <v>280</v>
      </c>
      <c r="N35" s="5" t="s">
        <v>768</v>
      </c>
      <c r="O35" s="5" t="s">
        <v>713</v>
      </c>
      <c r="P35" s="18">
        <v>46139</v>
      </c>
      <c r="Q35" s="5"/>
      <c r="R35" s="13" t="s">
        <v>754</v>
      </c>
    </row>
    <row r="36" spans="1:18" ht="111" customHeight="1">
      <c r="A36" s="12" t="s">
        <v>281</v>
      </c>
      <c r="B36" s="5" t="s">
        <v>34</v>
      </c>
      <c r="C36" s="5" t="s">
        <v>282</v>
      </c>
      <c r="D36" s="5" t="s">
        <v>283</v>
      </c>
      <c r="E36" s="5" t="s">
        <v>12</v>
      </c>
      <c r="F36" s="5" t="s">
        <v>113</v>
      </c>
      <c r="G36" s="5" t="s">
        <v>62</v>
      </c>
      <c r="H36" s="5" t="s">
        <v>72</v>
      </c>
      <c r="I36" s="5" t="s">
        <v>8</v>
      </c>
      <c r="J36" s="5" t="s">
        <v>278</v>
      </c>
      <c r="K36" s="5" t="s">
        <v>284</v>
      </c>
      <c r="L36" s="5" t="s">
        <v>285</v>
      </c>
      <c r="M36" s="5" t="s">
        <v>286</v>
      </c>
      <c r="N36" s="5" t="s">
        <v>770</v>
      </c>
      <c r="O36" s="5" t="s">
        <v>713</v>
      </c>
      <c r="P36" s="18">
        <v>46139</v>
      </c>
      <c r="Q36" s="5"/>
      <c r="R36" s="13" t="s">
        <v>769</v>
      </c>
    </row>
    <row r="37" spans="1:18" ht="111.75" customHeight="1">
      <c r="A37" s="12" t="s">
        <v>287</v>
      </c>
      <c r="B37" s="5" t="s">
        <v>34</v>
      </c>
      <c r="C37" s="5" t="s">
        <v>288</v>
      </c>
      <c r="D37" s="5" t="s">
        <v>289</v>
      </c>
      <c r="E37" s="5" t="s">
        <v>12</v>
      </c>
      <c r="F37" s="5" t="s">
        <v>113</v>
      </c>
      <c r="G37" s="5" t="s">
        <v>62</v>
      </c>
      <c r="H37" s="5" t="s">
        <v>72</v>
      </c>
      <c r="I37" s="5" t="s">
        <v>8</v>
      </c>
      <c r="J37" s="5" t="s">
        <v>290</v>
      </c>
      <c r="K37" s="5" t="s">
        <v>284</v>
      </c>
      <c r="L37" s="5" t="s">
        <v>291</v>
      </c>
      <c r="M37" s="5" t="s">
        <v>292</v>
      </c>
      <c r="N37" s="5" t="s">
        <v>770</v>
      </c>
      <c r="O37" s="5" t="s">
        <v>713</v>
      </c>
      <c r="P37" s="18">
        <v>46139</v>
      </c>
      <c r="Q37" s="5"/>
      <c r="R37" s="13" t="s">
        <v>769</v>
      </c>
    </row>
    <row r="38" spans="1:18" ht="118.5" customHeight="1">
      <c r="A38" s="12" t="s">
        <v>293</v>
      </c>
      <c r="B38" s="5" t="s">
        <v>34</v>
      </c>
      <c r="C38" s="5" t="s">
        <v>294</v>
      </c>
      <c r="D38" s="5" t="s">
        <v>295</v>
      </c>
      <c r="E38" s="5" t="s">
        <v>12</v>
      </c>
      <c r="F38" s="5" t="s">
        <v>71</v>
      </c>
      <c r="G38" s="5" t="s">
        <v>62</v>
      </c>
      <c r="H38" s="5" t="s">
        <v>72</v>
      </c>
      <c r="I38" s="5" t="s">
        <v>8</v>
      </c>
      <c r="J38" s="5" t="s">
        <v>211</v>
      </c>
      <c r="K38" s="5" t="s">
        <v>296</v>
      </c>
      <c r="L38" s="5" t="s">
        <v>297</v>
      </c>
      <c r="M38" s="5" t="s">
        <v>298</v>
      </c>
      <c r="N38" s="5" t="s">
        <v>770</v>
      </c>
      <c r="O38" s="5" t="s">
        <v>713</v>
      </c>
      <c r="P38" s="18">
        <v>46139</v>
      </c>
      <c r="Q38" s="5"/>
      <c r="R38" s="13" t="s">
        <v>769</v>
      </c>
    </row>
    <row r="39" spans="1:18" ht="114.75" customHeight="1">
      <c r="A39" s="12" t="s">
        <v>299</v>
      </c>
      <c r="B39" s="5" t="s">
        <v>34</v>
      </c>
      <c r="C39" s="5" t="s">
        <v>300</v>
      </c>
      <c r="D39" s="5" t="s">
        <v>301</v>
      </c>
      <c r="E39" s="5" t="s">
        <v>9</v>
      </c>
      <c r="F39" s="5" t="s">
        <v>71</v>
      </c>
      <c r="G39" s="5" t="s">
        <v>62</v>
      </c>
      <c r="H39" s="5" t="s">
        <v>92</v>
      </c>
      <c r="I39" s="5" t="s">
        <v>8</v>
      </c>
      <c r="J39" s="5" t="s">
        <v>211</v>
      </c>
      <c r="K39" s="5" t="s">
        <v>282</v>
      </c>
      <c r="L39" s="5" t="s">
        <v>302</v>
      </c>
      <c r="M39" s="5" t="s">
        <v>303</v>
      </c>
      <c r="N39" s="5" t="s">
        <v>770</v>
      </c>
      <c r="O39" s="5" t="s">
        <v>713</v>
      </c>
      <c r="P39" s="18">
        <v>46139</v>
      </c>
      <c r="Q39" s="5"/>
      <c r="R39" s="13" t="s">
        <v>769</v>
      </c>
    </row>
    <row r="40" spans="1:18" ht="111" customHeight="1">
      <c r="A40" s="12" t="s">
        <v>304</v>
      </c>
      <c r="B40" s="5" t="s">
        <v>30</v>
      </c>
      <c r="C40" s="5" t="s">
        <v>305</v>
      </c>
      <c r="D40" s="5" t="s">
        <v>306</v>
      </c>
      <c r="E40" s="5" t="s">
        <v>9</v>
      </c>
      <c r="F40" s="5" t="s">
        <v>61</v>
      </c>
      <c r="G40" s="5" t="s">
        <v>62</v>
      </c>
      <c r="H40" s="5" t="s">
        <v>63</v>
      </c>
      <c r="I40" s="5" t="s">
        <v>8</v>
      </c>
      <c r="J40" s="5" t="s">
        <v>226</v>
      </c>
      <c r="K40" s="5" t="s">
        <v>307</v>
      </c>
      <c r="L40" s="5" t="s">
        <v>308</v>
      </c>
      <c r="M40" s="5" t="s">
        <v>309</v>
      </c>
      <c r="N40" s="5" t="s">
        <v>770</v>
      </c>
      <c r="O40" s="5" t="s">
        <v>713</v>
      </c>
      <c r="P40" s="18">
        <v>46139</v>
      </c>
      <c r="Q40" s="5"/>
      <c r="R40" s="13" t="s">
        <v>769</v>
      </c>
    </row>
    <row r="41" spans="1:18" ht="111.75" customHeight="1">
      <c r="A41" s="12" t="s">
        <v>310</v>
      </c>
      <c r="B41" s="5" t="s">
        <v>30</v>
      </c>
      <c r="C41" s="5" t="s">
        <v>305</v>
      </c>
      <c r="D41" s="5" t="s">
        <v>311</v>
      </c>
      <c r="E41" s="5" t="s">
        <v>9</v>
      </c>
      <c r="F41" s="5" t="s">
        <v>71</v>
      </c>
      <c r="G41" s="5" t="s">
        <v>62</v>
      </c>
      <c r="H41" s="5" t="s">
        <v>72</v>
      </c>
      <c r="I41" s="5" t="s">
        <v>8</v>
      </c>
      <c r="J41" s="5" t="s">
        <v>312</v>
      </c>
      <c r="K41" s="5" t="s">
        <v>313</v>
      </c>
      <c r="L41" s="5" t="s">
        <v>314</v>
      </c>
      <c r="M41" s="5" t="s">
        <v>315</v>
      </c>
      <c r="N41" s="5" t="s">
        <v>770</v>
      </c>
      <c r="O41" s="5" t="s">
        <v>713</v>
      </c>
      <c r="P41" s="18">
        <v>46139</v>
      </c>
      <c r="Q41" s="5"/>
      <c r="R41" s="13" t="s">
        <v>769</v>
      </c>
    </row>
    <row r="42" spans="1:18" ht="111.75" customHeight="1">
      <c r="A42" s="12" t="s">
        <v>316</v>
      </c>
      <c r="B42" s="5" t="s">
        <v>30</v>
      </c>
      <c r="C42" s="5" t="s">
        <v>305</v>
      </c>
      <c r="D42" s="5" t="s">
        <v>317</v>
      </c>
      <c r="E42" s="5" t="s">
        <v>9</v>
      </c>
      <c r="F42" s="5" t="s">
        <v>71</v>
      </c>
      <c r="G42" s="5" t="s">
        <v>62</v>
      </c>
      <c r="H42" s="5" t="s">
        <v>92</v>
      </c>
      <c r="I42" s="5" t="s">
        <v>8</v>
      </c>
      <c r="J42" s="5" t="s">
        <v>312</v>
      </c>
      <c r="K42" s="5" t="s">
        <v>318</v>
      </c>
      <c r="L42" s="5" t="s">
        <v>319</v>
      </c>
      <c r="M42" s="5" t="s">
        <v>320</v>
      </c>
      <c r="N42" s="5" t="s">
        <v>770</v>
      </c>
      <c r="O42" s="5" t="s">
        <v>713</v>
      </c>
      <c r="P42" s="18">
        <v>46139</v>
      </c>
      <c r="Q42" s="5"/>
      <c r="R42" s="13" t="s">
        <v>769</v>
      </c>
    </row>
    <row r="43" spans="1:18" ht="113.25" customHeight="1">
      <c r="A43" s="12" t="s">
        <v>321</v>
      </c>
      <c r="B43" s="5" t="s">
        <v>30</v>
      </c>
      <c r="C43" s="5" t="s">
        <v>305</v>
      </c>
      <c r="D43" s="5" t="s">
        <v>322</v>
      </c>
      <c r="E43" s="5" t="s">
        <v>9</v>
      </c>
      <c r="F43" s="5" t="s">
        <v>105</v>
      </c>
      <c r="G43" s="5" t="s">
        <v>62</v>
      </c>
      <c r="H43" s="5" t="s">
        <v>72</v>
      </c>
      <c r="I43" s="5" t="s">
        <v>8</v>
      </c>
      <c r="J43" s="5" t="s">
        <v>312</v>
      </c>
      <c r="K43" s="5" t="s">
        <v>323</v>
      </c>
      <c r="L43" s="5" t="s">
        <v>324</v>
      </c>
      <c r="M43" s="5" t="s">
        <v>325</v>
      </c>
      <c r="N43" s="5" t="s">
        <v>770</v>
      </c>
      <c r="O43" s="5" t="s">
        <v>713</v>
      </c>
      <c r="P43" s="18">
        <v>46139</v>
      </c>
      <c r="Q43" s="5"/>
      <c r="R43" s="13" t="s">
        <v>769</v>
      </c>
    </row>
    <row r="44" spans="1:18" ht="99" customHeight="1">
      <c r="A44" s="12" t="s">
        <v>326</v>
      </c>
      <c r="B44" s="5" t="s">
        <v>30</v>
      </c>
      <c r="C44" s="5" t="s">
        <v>305</v>
      </c>
      <c r="D44" s="5" t="s">
        <v>327</v>
      </c>
      <c r="E44" s="5" t="s">
        <v>12</v>
      </c>
      <c r="F44" s="5" t="s">
        <v>105</v>
      </c>
      <c r="G44" s="5" t="s">
        <v>62</v>
      </c>
      <c r="H44" s="5" t="s">
        <v>72</v>
      </c>
      <c r="I44" s="5" t="s">
        <v>8</v>
      </c>
      <c r="J44" s="5" t="s">
        <v>312</v>
      </c>
      <c r="K44" s="5" t="s">
        <v>328</v>
      </c>
      <c r="L44" s="5" t="s">
        <v>329</v>
      </c>
      <c r="M44" s="5" t="s">
        <v>330</v>
      </c>
      <c r="N44" s="5" t="s">
        <v>771</v>
      </c>
      <c r="O44" s="5" t="s">
        <v>713</v>
      </c>
      <c r="P44" s="18">
        <v>46139</v>
      </c>
      <c r="Q44" s="5"/>
      <c r="R44" s="13" t="s">
        <v>769</v>
      </c>
    </row>
    <row r="45" spans="1:18" ht="108.75" customHeight="1">
      <c r="A45" s="12" t="s">
        <v>331</v>
      </c>
      <c r="B45" s="5" t="s">
        <v>30</v>
      </c>
      <c r="C45" s="5" t="s">
        <v>305</v>
      </c>
      <c r="D45" s="5" t="s">
        <v>332</v>
      </c>
      <c r="E45" s="5" t="s">
        <v>12</v>
      </c>
      <c r="F45" s="5" t="s">
        <v>71</v>
      </c>
      <c r="G45" s="5" t="s">
        <v>62</v>
      </c>
      <c r="H45" s="5" t="s">
        <v>72</v>
      </c>
      <c r="I45" s="5" t="s">
        <v>8</v>
      </c>
      <c r="J45" s="5" t="s">
        <v>312</v>
      </c>
      <c r="K45" s="5" t="s">
        <v>333</v>
      </c>
      <c r="L45" s="5" t="s">
        <v>334</v>
      </c>
      <c r="M45" s="5" t="s">
        <v>335</v>
      </c>
      <c r="N45" s="5" t="s">
        <v>772</v>
      </c>
      <c r="O45" s="5" t="s">
        <v>713</v>
      </c>
      <c r="P45" s="18">
        <v>46139</v>
      </c>
      <c r="Q45" s="5"/>
      <c r="R45" s="13" t="s">
        <v>769</v>
      </c>
    </row>
    <row r="46" spans="1:18" ht="104.25" customHeight="1">
      <c r="A46" s="12" t="s">
        <v>336</v>
      </c>
      <c r="B46" s="5" t="s">
        <v>30</v>
      </c>
      <c r="C46" s="5" t="s">
        <v>305</v>
      </c>
      <c r="D46" s="5" t="s">
        <v>337</v>
      </c>
      <c r="E46" s="5" t="s">
        <v>12</v>
      </c>
      <c r="F46" s="5" t="s">
        <v>71</v>
      </c>
      <c r="G46" s="5" t="s">
        <v>62</v>
      </c>
      <c r="H46" s="5" t="s">
        <v>72</v>
      </c>
      <c r="I46" s="5" t="s">
        <v>8</v>
      </c>
      <c r="J46" s="5" t="s">
        <v>312</v>
      </c>
      <c r="K46" s="5" t="s">
        <v>338</v>
      </c>
      <c r="L46" s="5" t="s">
        <v>339</v>
      </c>
      <c r="M46" s="5" t="s">
        <v>340</v>
      </c>
      <c r="N46" s="5" t="s">
        <v>773</v>
      </c>
      <c r="O46" s="5" t="s">
        <v>713</v>
      </c>
      <c r="P46" s="18">
        <v>46139</v>
      </c>
      <c r="Q46" s="5"/>
      <c r="R46" s="13" t="s">
        <v>769</v>
      </c>
    </row>
    <row r="47" spans="1:18" ht="107.25" customHeight="1">
      <c r="A47" s="12" t="s">
        <v>341</v>
      </c>
      <c r="B47" s="5" t="s">
        <v>30</v>
      </c>
      <c r="C47" s="5" t="s">
        <v>342</v>
      </c>
      <c r="D47" s="5" t="s">
        <v>343</v>
      </c>
      <c r="E47" s="5" t="s">
        <v>9</v>
      </c>
      <c r="F47" s="5" t="s">
        <v>165</v>
      </c>
      <c r="G47" s="5" t="s">
        <v>62</v>
      </c>
      <c r="H47" s="5" t="s">
        <v>92</v>
      </c>
      <c r="I47" s="5" t="s">
        <v>8</v>
      </c>
      <c r="J47" s="5" t="s">
        <v>344</v>
      </c>
      <c r="K47" s="5" t="s">
        <v>345</v>
      </c>
      <c r="L47" s="5" t="s">
        <v>346</v>
      </c>
      <c r="M47" s="5" t="s">
        <v>347</v>
      </c>
      <c r="N47" s="5" t="s">
        <v>774</v>
      </c>
      <c r="O47" s="5" t="s">
        <v>713</v>
      </c>
      <c r="P47" s="18">
        <v>46139</v>
      </c>
      <c r="Q47" s="5"/>
      <c r="R47" s="13" t="s">
        <v>769</v>
      </c>
    </row>
    <row r="48" spans="1:18" ht="106.5" customHeight="1">
      <c r="A48" s="12" t="s">
        <v>348</v>
      </c>
      <c r="B48" s="5" t="s">
        <v>30</v>
      </c>
      <c r="C48" s="5" t="s">
        <v>349</v>
      </c>
      <c r="D48" s="5" t="s">
        <v>350</v>
      </c>
      <c r="E48" s="5" t="s">
        <v>9</v>
      </c>
      <c r="F48" s="5" t="s">
        <v>71</v>
      </c>
      <c r="G48" s="5" t="s">
        <v>62</v>
      </c>
      <c r="H48" s="5" t="s">
        <v>92</v>
      </c>
      <c r="I48" s="5" t="s">
        <v>8</v>
      </c>
      <c r="J48" s="5" t="s">
        <v>351</v>
      </c>
      <c r="K48" s="5" t="s">
        <v>352</v>
      </c>
      <c r="L48" s="5" t="s">
        <v>353</v>
      </c>
      <c r="M48" s="5" t="s">
        <v>354</v>
      </c>
      <c r="N48" s="5" t="s">
        <v>775</v>
      </c>
      <c r="O48" s="5" t="s">
        <v>713</v>
      </c>
      <c r="P48" s="18">
        <v>46139</v>
      </c>
      <c r="Q48" s="5"/>
      <c r="R48" s="13" t="s">
        <v>769</v>
      </c>
    </row>
    <row r="49" spans="1:18" ht="106.5" customHeight="1">
      <c r="A49" s="12" t="s">
        <v>355</v>
      </c>
      <c r="B49" s="5" t="s">
        <v>30</v>
      </c>
      <c r="C49" s="5" t="s">
        <v>356</v>
      </c>
      <c r="D49" s="5" t="s">
        <v>357</v>
      </c>
      <c r="E49" s="5" t="s">
        <v>12</v>
      </c>
      <c r="F49" s="5" t="s">
        <v>358</v>
      </c>
      <c r="G49" s="5" t="s">
        <v>359</v>
      </c>
      <c r="H49" s="5" t="s">
        <v>360</v>
      </c>
      <c r="I49" s="5" t="s">
        <v>8</v>
      </c>
      <c r="J49" s="5" t="s">
        <v>361</v>
      </c>
      <c r="K49" s="5" t="s">
        <v>351</v>
      </c>
      <c r="L49" s="5" t="s">
        <v>362</v>
      </c>
      <c r="M49" s="5" t="s">
        <v>363</v>
      </c>
      <c r="N49" s="5" t="s">
        <v>776</v>
      </c>
      <c r="O49" s="5" t="s">
        <v>713</v>
      </c>
      <c r="P49" s="18">
        <v>46139</v>
      </c>
      <c r="Q49" s="5"/>
      <c r="R49" s="13" t="s">
        <v>769</v>
      </c>
    </row>
    <row r="50" spans="1:18" ht="104.25" customHeight="1">
      <c r="A50" s="12" t="s">
        <v>364</v>
      </c>
      <c r="B50" s="5" t="s">
        <v>28</v>
      </c>
      <c r="C50" s="5" t="s">
        <v>365</v>
      </c>
      <c r="D50" s="5" t="s">
        <v>366</v>
      </c>
      <c r="E50" s="5" t="s">
        <v>12</v>
      </c>
      <c r="F50" s="5" t="s">
        <v>113</v>
      </c>
      <c r="G50" s="5" t="s">
        <v>114</v>
      </c>
      <c r="H50" s="5" t="s">
        <v>115</v>
      </c>
      <c r="I50" s="5" t="s">
        <v>8</v>
      </c>
      <c r="J50" s="5" t="s">
        <v>367</v>
      </c>
      <c r="K50" s="5" t="s">
        <v>152</v>
      </c>
      <c r="L50" s="5" t="s">
        <v>368</v>
      </c>
      <c r="M50" s="5" t="s">
        <v>369</v>
      </c>
      <c r="N50" s="5" t="s">
        <v>777</v>
      </c>
      <c r="O50" s="5" t="s">
        <v>713</v>
      </c>
      <c r="P50" s="18">
        <v>46139</v>
      </c>
      <c r="Q50" s="5"/>
      <c r="R50" s="13" t="s">
        <v>769</v>
      </c>
    </row>
    <row r="51" spans="1:18" ht="107.25" customHeight="1">
      <c r="A51" s="12" t="s">
        <v>370</v>
      </c>
      <c r="B51" s="5" t="s">
        <v>28</v>
      </c>
      <c r="C51" s="5" t="s">
        <v>365</v>
      </c>
      <c r="D51" s="5" t="s">
        <v>371</v>
      </c>
      <c r="E51" s="5" t="s">
        <v>12</v>
      </c>
      <c r="F51" s="5" t="s">
        <v>113</v>
      </c>
      <c r="G51" s="5" t="s">
        <v>62</v>
      </c>
      <c r="H51" s="5" t="s">
        <v>72</v>
      </c>
      <c r="I51" s="5" t="s">
        <v>8</v>
      </c>
      <c r="J51" s="5" t="s">
        <v>372</v>
      </c>
      <c r="K51" s="5" t="s">
        <v>373</v>
      </c>
      <c r="L51" s="5" t="s">
        <v>374</v>
      </c>
      <c r="M51" s="5" t="s">
        <v>375</v>
      </c>
      <c r="N51" s="5" t="s">
        <v>778</v>
      </c>
      <c r="O51" s="5" t="s">
        <v>713</v>
      </c>
      <c r="P51" s="18">
        <v>46139</v>
      </c>
      <c r="Q51" s="5"/>
      <c r="R51" s="13" t="s">
        <v>769</v>
      </c>
    </row>
    <row r="52" spans="1:18" ht="104.25" customHeight="1">
      <c r="A52" s="12" t="s">
        <v>376</v>
      </c>
      <c r="B52" s="5" t="s">
        <v>29</v>
      </c>
      <c r="C52" s="5" t="s">
        <v>377</v>
      </c>
      <c r="D52" s="5" t="s">
        <v>378</v>
      </c>
      <c r="E52" s="5" t="s">
        <v>9</v>
      </c>
      <c r="F52" s="5" t="s">
        <v>71</v>
      </c>
      <c r="G52" s="5" t="s">
        <v>62</v>
      </c>
      <c r="H52" s="5" t="s">
        <v>72</v>
      </c>
      <c r="I52" s="5" t="s">
        <v>8</v>
      </c>
      <c r="J52" s="5" t="s">
        <v>226</v>
      </c>
      <c r="K52" s="5" t="s">
        <v>379</v>
      </c>
      <c r="L52" s="5" t="s">
        <v>380</v>
      </c>
      <c r="M52" s="5" t="s">
        <v>381</v>
      </c>
      <c r="N52" s="5" t="s">
        <v>779</v>
      </c>
      <c r="O52" s="5" t="s">
        <v>713</v>
      </c>
      <c r="P52" s="18">
        <v>46139</v>
      </c>
      <c r="Q52" s="5"/>
      <c r="R52" s="13" t="s">
        <v>769</v>
      </c>
    </row>
    <row r="53" spans="1:18" ht="107.25" customHeight="1">
      <c r="A53" s="12" t="s">
        <v>382</v>
      </c>
      <c r="B53" s="5" t="s">
        <v>29</v>
      </c>
      <c r="C53" s="5" t="s">
        <v>383</v>
      </c>
      <c r="D53" s="5" t="s">
        <v>384</v>
      </c>
      <c r="E53" s="5" t="s">
        <v>12</v>
      </c>
      <c r="F53" s="5" t="s">
        <v>71</v>
      </c>
      <c r="G53" s="5" t="s">
        <v>62</v>
      </c>
      <c r="H53" s="5" t="s">
        <v>92</v>
      </c>
      <c r="I53" s="5" t="s">
        <v>8</v>
      </c>
      <c r="J53" s="5" t="s">
        <v>385</v>
      </c>
      <c r="K53" s="5" t="s">
        <v>386</v>
      </c>
      <c r="L53" s="5" t="s">
        <v>387</v>
      </c>
      <c r="M53" s="5" t="s">
        <v>388</v>
      </c>
      <c r="N53" s="5" t="s">
        <v>780</v>
      </c>
      <c r="O53" s="5" t="s">
        <v>713</v>
      </c>
      <c r="P53" s="18">
        <v>46139</v>
      </c>
      <c r="Q53" s="5"/>
      <c r="R53" s="13" t="s">
        <v>769</v>
      </c>
    </row>
    <row r="54" spans="1:18" ht="105.75" customHeight="1">
      <c r="A54" s="12" t="s">
        <v>389</v>
      </c>
      <c r="B54" s="5" t="s">
        <v>29</v>
      </c>
      <c r="C54" s="5" t="s">
        <v>383</v>
      </c>
      <c r="D54" s="5" t="s">
        <v>390</v>
      </c>
      <c r="E54" s="5" t="s">
        <v>12</v>
      </c>
      <c r="F54" s="5" t="s">
        <v>71</v>
      </c>
      <c r="G54" s="5" t="s">
        <v>62</v>
      </c>
      <c r="H54" s="5" t="s">
        <v>92</v>
      </c>
      <c r="I54" s="5" t="s">
        <v>8</v>
      </c>
      <c r="J54" s="5" t="s">
        <v>385</v>
      </c>
      <c r="K54" s="5" t="s">
        <v>391</v>
      </c>
      <c r="L54" s="5" t="s">
        <v>392</v>
      </c>
      <c r="M54" s="5" t="s">
        <v>393</v>
      </c>
      <c r="N54" s="5" t="s">
        <v>781</v>
      </c>
      <c r="O54" s="5" t="s">
        <v>713</v>
      </c>
      <c r="P54" s="18">
        <v>46139</v>
      </c>
      <c r="Q54" s="5"/>
      <c r="R54" s="13" t="s">
        <v>754</v>
      </c>
    </row>
    <row r="55" spans="1:18" ht="105.75" customHeight="1">
      <c r="A55" s="12" t="s">
        <v>394</v>
      </c>
      <c r="B55" s="5" t="s">
        <v>29</v>
      </c>
      <c r="C55" s="5" t="s">
        <v>383</v>
      </c>
      <c r="D55" s="5" t="s">
        <v>395</v>
      </c>
      <c r="E55" s="5" t="s">
        <v>12</v>
      </c>
      <c r="F55" s="5" t="s">
        <v>105</v>
      </c>
      <c r="G55" s="5" t="s">
        <v>62</v>
      </c>
      <c r="H55" s="5" t="s">
        <v>72</v>
      </c>
      <c r="I55" s="5" t="s">
        <v>8</v>
      </c>
      <c r="J55" s="5" t="s">
        <v>396</v>
      </c>
      <c r="K55" s="5" t="s">
        <v>397</v>
      </c>
      <c r="L55" s="5" t="s">
        <v>398</v>
      </c>
      <c r="M55" s="5" t="s">
        <v>399</v>
      </c>
      <c r="N55" s="5" t="s">
        <v>782</v>
      </c>
      <c r="O55" s="5" t="s">
        <v>713</v>
      </c>
      <c r="P55" s="18">
        <v>46139</v>
      </c>
      <c r="Q55" s="5"/>
      <c r="R55" s="13" t="s">
        <v>754</v>
      </c>
    </row>
    <row r="56" spans="1:18" ht="103.5" customHeight="1">
      <c r="A56" s="12" t="s">
        <v>400</v>
      </c>
      <c r="B56" s="5" t="s">
        <v>29</v>
      </c>
      <c r="C56" s="5" t="s">
        <v>401</v>
      </c>
      <c r="D56" s="5" t="s">
        <v>402</v>
      </c>
      <c r="E56" s="5" t="s">
        <v>9</v>
      </c>
      <c r="F56" s="5" t="s">
        <v>71</v>
      </c>
      <c r="G56" s="5" t="s">
        <v>62</v>
      </c>
      <c r="H56" s="5" t="s">
        <v>92</v>
      </c>
      <c r="I56" s="5" t="s">
        <v>8</v>
      </c>
      <c r="J56" s="5" t="s">
        <v>403</v>
      </c>
      <c r="K56" s="5" t="s">
        <v>404</v>
      </c>
      <c r="L56" s="5" t="s">
        <v>405</v>
      </c>
      <c r="M56" s="5" t="s">
        <v>406</v>
      </c>
      <c r="N56" s="5" t="s">
        <v>783</v>
      </c>
      <c r="O56" s="5" t="s">
        <v>713</v>
      </c>
      <c r="P56" s="18">
        <v>46139</v>
      </c>
      <c r="Q56" s="5"/>
      <c r="R56" s="13" t="s">
        <v>754</v>
      </c>
    </row>
    <row r="57" spans="1:18" ht="107.25" customHeight="1">
      <c r="A57" s="12" t="s">
        <v>407</v>
      </c>
      <c r="B57" s="5" t="s">
        <v>29</v>
      </c>
      <c r="C57" s="5" t="s">
        <v>408</v>
      </c>
      <c r="D57" s="5" t="s">
        <v>409</v>
      </c>
      <c r="E57" s="5" t="s">
        <v>12</v>
      </c>
      <c r="F57" s="5" t="s">
        <v>71</v>
      </c>
      <c r="G57" s="5" t="s">
        <v>62</v>
      </c>
      <c r="H57" s="5" t="s">
        <v>72</v>
      </c>
      <c r="I57" s="5" t="s">
        <v>8</v>
      </c>
      <c r="J57" s="5" t="s">
        <v>410</v>
      </c>
      <c r="K57" s="5" t="s">
        <v>411</v>
      </c>
      <c r="L57" s="5" t="s">
        <v>412</v>
      </c>
      <c r="M57" s="5" t="s">
        <v>413</v>
      </c>
      <c r="N57" s="5" t="s">
        <v>784</v>
      </c>
      <c r="O57" s="5" t="s">
        <v>713</v>
      </c>
      <c r="P57" s="18">
        <v>46139</v>
      </c>
      <c r="Q57" s="5"/>
      <c r="R57" s="13" t="s">
        <v>754</v>
      </c>
    </row>
    <row r="58" spans="1:18" ht="105.75" customHeight="1">
      <c r="A58" s="12" t="s">
        <v>414</v>
      </c>
      <c r="B58" s="5" t="s">
        <v>37</v>
      </c>
      <c r="C58" s="5" t="s">
        <v>415</v>
      </c>
      <c r="D58" s="5" t="s">
        <v>416</v>
      </c>
      <c r="E58" s="5" t="s">
        <v>12</v>
      </c>
      <c r="F58" s="5" t="s">
        <v>71</v>
      </c>
      <c r="G58" s="5" t="s">
        <v>62</v>
      </c>
      <c r="H58" s="5" t="s">
        <v>72</v>
      </c>
      <c r="I58" s="5" t="s">
        <v>8</v>
      </c>
      <c r="J58" s="5" t="s">
        <v>351</v>
      </c>
      <c r="K58" s="5" t="s">
        <v>417</v>
      </c>
      <c r="L58" s="5" t="s">
        <v>418</v>
      </c>
      <c r="M58" s="5" t="s">
        <v>419</v>
      </c>
      <c r="N58" s="5" t="s">
        <v>785</v>
      </c>
      <c r="O58" s="5" t="s">
        <v>713</v>
      </c>
      <c r="P58" s="18">
        <v>46139</v>
      </c>
      <c r="Q58" s="5"/>
      <c r="R58" s="13" t="s">
        <v>754</v>
      </c>
    </row>
    <row r="59" spans="1:18" ht="109.5" customHeight="1">
      <c r="A59" s="12" t="s">
        <v>420</v>
      </c>
      <c r="B59" s="5" t="s">
        <v>37</v>
      </c>
      <c r="C59" s="5" t="s">
        <v>415</v>
      </c>
      <c r="D59" s="5" t="s">
        <v>421</v>
      </c>
      <c r="E59" s="5" t="s">
        <v>12</v>
      </c>
      <c r="F59" s="5" t="s">
        <v>165</v>
      </c>
      <c r="G59" s="5" t="s">
        <v>62</v>
      </c>
      <c r="H59" s="5" t="s">
        <v>92</v>
      </c>
      <c r="I59" s="5" t="s">
        <v>8</v>
      </c>
      <c r="J59" s="5" t="s">
        <v>422</v>
      </c>
      <c r="K59" s="5" t="s">
        <v>423</v>
      </c>
      <c r="L59" s="5" t="s">
        <v>424</v>
      </c>
      <c r="M59" s="5" t="s">
        <v>425</v>
      </c>
      <c r="N59" s="5" t="s">
        <v>786</v>
      </c>
      <c r="O59" s="5" t="s">
        <v>713</v>
      </c>
      <c r="P59" s="18">
        <v>46139</v>
      </c>
      <c r="Q59" s="5"/>
      <c r="R59" s="13" t="s">
        <v>754</v>
      </c>
    </row>
    <row r="60" spans="1:18" ht="106.5" customHeight="1">
      <c r="A60" s="12" t="s">
        <v>426</v>
      </c>
      <c r="B60" s="5" t="s">
        <v>31</v>
      </c>
      <c r="C60" s="5" t="s">
        <v>427</v>
      </c>
      <c r="D60" s="5" t="s">
        <v>428</v>
      </c>
      <c r="E60" s="5" t="s">
        <v>12</v>
      </c>
      <c r="F60" s="5" t="s">
        <v>71</v>
      </c>
      <c r="G60" s="5" t="s">
        <v>62</v>
      </c>
      <c r="H60" s="5" t="s">
        <v>72</v>
      </c>
      <c r="I60" s="5" t="s">
        <v>8</v>
      </c>
      <c r="J60" s="5" t="s">
        <v>429</v>
      </c>
      <c r="K60" s="5" t="s">
        <v>430</v>
      </c>
      <c r="L60" s="5" t="s">
        <v>431</v>
      </c>
      <c r="M60" s="5" t="s">
        <v>432</v>
      </c>
      <c r="N60" s="5" t="s">
        <v>787</v>
      </c>
      <c r="O60" s="5" t="s">
        <v>713</v>
      </c>
      <c r="P60" s="18">
        <v>46139</v>
      </c>
      <c r="Q60" s="5"/>
      <c r="R60" s="13" t="s">
        <v>754</v>
      </c>
    </row>
    <row r="61" spans="1:18" ht="114" customHeight="1">
      <c r="A61" s="12" t="s">
        <v>433</v>
      </c>
      <c r="B61" s="5" t="s">
        <v>31</v>
      </c>
      <c r="C61" s="5" t="s">
        <v>427</v>
      </c>
      <c r="D61" s="5" t="s">
        <v>434</v>
      </c>
      <c r="E61" s="5" t="s">
        <v>12</v>
      </c>
      <c r="F61" s="5" t="s">
        <v>71</v>
      </c>
      <c r="G61" s="5" t="s">
        <v>62</v>
      </c>
      <c r="H61" s="5" t="s">
        <v>92</v>
      </c>
      <c r="I61" s="5" t="s">
        <v>8</v>
      </c>
      <c r="J61" s="5" t="s">
        <v>435</v>
      </c>
      <c r="K61" s="5" t="s">
        <v>436</v>
      </c>
      <c r="L61" s="5" t="s">
        <v>437</v>
      </c>
      <c r="M61" s="5" t="s">
        <v>438</v>
      </c>
      <c r="N61" s="5" t="s">
        <v>788</v>
      </c>
      <c r="O61" s="5" t="s">
        <v>713</v>
      </c>
      <c r="P61" s="18">
        <v>46139</v>
      </c>
      <c r="Q61" s="5"/>
      <c r="R61" s="13" t="s">
        <v>754</v>
      </c>
    </row>
    <row r="62" spans="1:18" ht="108.75" customHeight="1">
      <c r="A62" s="12" t="s">
        <v>439</v>
      </c>
      <c r="B62" s="5" t="s">
        <v>36</v>
      </c>
      <c r="C62" s="5" t="s">
        <v>440</v>
      </c>
      <c r="D62" s="5" t="s">
        <v>441</v>
      </c>
      <c r="E62" s="5" t="s">
        <v>12</v>
      </c>
      <c r="F62" s="5" t="s">
        <v>71</v>
      </c>
      <c r="G62" s="5" t="s">
        <v>62</v>
      </c>
      <c r="H62" s="5" t="s">
        <v>92</v>
      </c>
      <c r="I62" s="5" t="s">
        <v>8</v>
      </c>
      <c r="J62" s="5" t="s">
        <v>226</v>
      </c>
      <c r="K62" s="5" t="s">
        <v>442</v>
      </c>
      <c r="L62" s="5" t="s">
        <v>443</v>
      </c>
      <c r="M62" s="5" t="s">
        <v>444</v>
      </c>
      <c r="N62" s="5" t="s">
        <v>789</v>
      </c>
      <c r="O62" s="5" t="s">
        <v>713</v>
      </c>
      <c r="P62" s="18">
        <v>46139</v>
      </c>
      <c r="Q62" s="5"/>
      <c r="R62" s="13" t="s">
        <v>754</v>
      </c>
    </row>
    <row r="63" spans="1:18" ht="107.25" customHeight="1">
      <c r="A63" s="12" t="s">
        <v>445</v>
      </c>
      <c r="B63" s="5" t="s">
        <v>36</v>
      </c>
      <c r="C63" s="5" t="s">
        <v>446</v>
      </c>
      <c r="D63" s="5" t="s">
        <v>447</v>
      </c>
      <c r="E63" s="5" t="s">
        <v>12</v>
      </c>
      <c r="F63" s="5" t="s">
        <v>71</v>
      </c>
      <c r="G63" s="5" t="s">
        <v>62</v>
      </c>
      <c r="H63" s="5" t="s">
        <v>92</v>
      </c>
      <c r="I63" s="5" t="s">
        <v>8</v>
      </c>
      <c r="J63" s="5" t="s">
        <v>226</v>
      </c>
      <c r="K63" s="5" t="s">
        <v>448</v>
      </c>
      <c r="L63" s="5" t="s">
        <v>449</v>
      </c>
      <c r="M63" s="5" t="s">
        <v>450</v>
      </c>
      <c r="N63" s="5" t="s">
        <v>790</v>
      </c>
      <c r="O63" s="5" t="s">
        <v>713</v>
      </c>
      <c r="P63" s="18">
        <v>46139</v>
      </c>
      <c r="Q63" s="5"/>
      <c r="R63" s="13" t="s">
        <v>754</v>
      </c>
    </row>
    <row r="64" spans="1:18" ht="107.25" customHeight="1">
      <c r="A64" s="12" t="s">
        <v>451</v>
      </c>
      <c r="B64" s="5" t="s">
        <v>36</v>
      </c>
      <c r="C64" s="5" t="s">
        <v>452</v>
      </c>
      <c r="D64" s="5" t="s">
        <v>453</v>
      </c>
      <c r="E64" s="5" t="s">
        <v>12</v>
      </c>
      <c r="F64" s="5" t="s">
        <v>71</v>
      </c>
      <c r="G64" s="5" t="s">
        <v>62</v>
      </c>
      <c r="H64" s="5" t="s">
        <v>92</v>
      </c>
      <c r="I64" s="5" t="s">
        <v>8</v>
      </c>
      <c r="J64" s="5" t="s">
        <v>226</v>
      </c>
      <c r="K64" s="5" t="s">
        <v>454</v>
      </c>
      <c r="L64" s="5" t="s">
        <v>455</v>
      </c>
      <c r="M64" s="5" t="s">
        <v>450</v>
      </c>
      <c r="N64" s="5" t="s">
        <v>791</v>
      </c>
      <c r="O64" s="5" t="s">
        <v>713</v>
      </c>
      <c r="P64" s="18">
        <v>46139</v>
      </c>
      <c r="Q64" s="5"/>
      <c r="R64" s="13" t="s">
        <v>754</v>
      </c>
    </row>
    <row r="65" spans="1:18" ht="109.5" customHeight="1">
      <c r="A65" s="12" t="s">
        <v>456</v>
      </c>
      <c r="B65" s="5" t="s">
        <v>36</v>
      </c>
      <c r="C65" s="5" t="s">
        <v>457</v>
      </c>
      <c r="D65" s="5" t="s">
        <v>458</v>
      </c>
      <c r="E65" s="5" t="s">
        <v>12</v>
      </c>
      <c r="F65" s="5" t="s">
        <v>71</v>
      </c>
      <c r="G65" s="5" t="s">
        <v>62</v>
      </c>
      <c r="H65" s="5" t="s">
        <v>72</v>
      </c>
      <c r="I65" s="5" t="s">
        <v>8</v>
      </c>
      <c r="J65" s="5" t="s">
        <v>459</v>
      </c>
      <c r="K65" s="5" t="s">
        <v>460</v>
      </c>
      <c r="L65" s="5" t="s">
        <v>461</v>
      </c>
      <c r="M65" s="5" t="s">
        <v>462</v>
      </c>
      <c r="N65" s="5" t="s">
        <v>792</v>
      </c>
      <c r="O65" s="5" t="s">
        <v>713</v>
      </c>
      <c r="P65" s="18">
        <v>46139</v>
      </c>
      <c r="Q65" s="5"/>
      <c r="R65" s="13" t="s">
        <v>754</v>
      </c>
    </row>
    <row r="66" spans="1:18" ht="108.75" customHeight="1">
      <c r="A66" s="12" t="s">
        <v>463</v>
      </c>
      <c r="B66" s="5" t="s">
        <v>35</v>
      </c>
      <c r="C66" s="5" t="s">
        <v>464</v>
      </c>
      <c r="D66" s="5" t="s">
        <v>465</v>
      </c>
      <c r="E66" s="5" t="s">
        <v>9</v>
      </c>
      <c r="F66" s="5" t="s">
        <v>165</v>
      </c>
      <c r="G66" s="5" t="s">
        <v>62</v>
      </c>
      <c r="H66" s="5" t="s">
        <v>92</v>
      </c>
      <c r="I66" s="5" t="s">
        <v>8</v>
      </c>
      <c r="J66" s="5" t="s">
        <v>466</v>
      </c>
      <c r="K66" s="5" t="s">
        <v>423</v>
      </c>
      <c r="L66" s="5" t="s">
        <v>467</v>
      </c>
      <c r="M66" s="5" t="s">
        <v>468</v>
      </c>
      <c r="N66" s="5" t="s">
        <v>793</v>
      </c>
      <c r="O66" s="5" t="s">
        <v>713</v>
      </c>
      <c r="P66" s="18">
        <v>46139</v>
      </c>
      <c r="Q66" s="5"/>
      <c r="R66" s="13" t="s">
        <v>754</v>
      </c>
    </row>
    <row r="67" spans="1:18" ht="104.25" customHeight="1">
      <c r="A67" s="12" t="s">
        <v>469</v>
      </c>
      <c r="B67" s="5" t="s">
        <v>35</v>
      </c>
      <c r="C67" s="5" t="s">
        <v>30</v>
      </c>
      <c r="D67" s="5" t="s">
        <v>470</v>
      </c>
      <c r="E67" s="5" t="s">
        <v>9</v>
      </c>
      <c r="F67" s="5" t="s">
        <v>165</v>
      </c>
      <c r="G67" s="5" t="s">
        <v>62</v>
      </c>
      <c r="H67" s="5" t="s">
        <v>92</v>
      </c>
      <c r="I67" s="5" t="s">
        <v>8</v>
      </c>
      <c r="J67" s="5" t="s">
        <v>344</v>
      </c>
      <c r="K67" s="5" t="s">
        <v>345</v>
      </c>
      <c r="L67" s="5" t="s">
        <v>471</v>
      </c>
      <c r="M67" s="5" t="s">
        <v>472</v>
      </c>
      <c r="N67" s="5" t="s">
        <v>794</v>
      </c>
      <c r="O67" s="5" t="s">
        <v>713</v>
      </c>
      <c r="P67" s="18">
        <v>46139</v>
      </c>
      <c r="Q67" s="5"/>
      <c r="R67" s="13" t="s">
        <v>754</v>
      </c>
    </row>
    <row r="68" spans="1:18" ht="104.25" customHeight="1">
      <c r="A68" s="12" t="s">
        <v>473</v>
      </c>
      <c r="B68" s="5" t="s">
        <v>35</v>
      </c>
      <c r="C68" s="5" t="s">
        <v>34</v>
      </c>
      <c r="D68" s="5" t="s">
        <v>474</v>
      </c>
      <c r="E68" s="5" t="s">
        <v>9</v>
      </c>
      <c r="F68" s="5" t="s">
        <v>165</v>
      </c>
      <c r="G68" s="5" t="s">
        <v>62</v>
      </c>
      <c r="H68" s="5" t="s">
        <v>92</v>
      </c>
      <c r="I68" s="5" t="s">
        <v>8</v>
      </c>
      <c r="J68" s="5" t="s">
        <v>273</v>
      </c>
      <c r="K68" s="5" t="s">
        <v>423</v>
      </c>
      <c r="L68" s="5" t="s">
        <v>475</v>
      </c>
      <c r="M68" s="5" t="s">
        <v>476</v>
      </c>
      <c r="N68" s="5" t="s">
        <v>795</v>
      </c>
      <c r="O68" s="5" t="s">
        <v>713</v>
      </c>
      <c r="P68" s="18">
        <v>46139</v>
      </c>
      <c r="Q68" s="5"/>
      <c r="R68" s="13" t="s">
        <v>754</v>
      </c>
    </row>
    <row r="69" spans="1:18" ht="105.75" customHeight="1">
      <c r="A69" s="12" t="s">
        <v>477</v>
      </c>
      <c r="B69" s="5" t="s">
        <v>35</v>
      </c>
      <c r="C69" s="5" t="s">
        <v>478</v>
      </c>
      <c r="D69" s="5" t="s">
        <v>479</v>
      </c>
      <c r="E69" s="5" t="s">
        <v>9</v>
      </c>
      <c r="F69" s="5" t="s">
        <v>358</v>
      </c>
      <c r="G69" s="5" t="s">
        <v>62</v>
      </c>
      <c r="H69" s="5" t="s">
        <v>92</v>
      </c>
      <c r="I69" s="5" t="s">
        <v>8</v>
      </c>
      <c r="J69" s="5" t="s">
        <v>226</v>
      </c>
      <c r="K69" s="5" t="s">
        <v>480</v>
      </c>
      <c r="L69" s="5" t="s">
        <v>481</v>
      </c>
      <c r="M69" s="5" t="s">
        <v>482</v>
      </c>
      <c r="N69" s="5" t="s">
        <v>796</v>
      </c>
      <c r="O69" s="5" t="s">
        <v>713</v>
      </c>
      <c r="P69" s="18">
        <v>46139</v>
      </c>
      <c r="Q69" s="5"/>
      <c r="R69" s="13" t="s">
        <v>754</v>
      </c>
    </row>
    <row r="70" spans="1:18" ht="106.5" customHeight="1">
      <c r="A70" s="12" t="s">
        <v>483</v>
      </c>
      <c r="B70" s="5" t="s">
        <v>41</v>
      </c>
      <c r="C70" s="5" t="s">
        <v>484</v>
      </c>
      <c r="D70" s="5" t="s">
        <v>485</v>
      </c>
      <c r="E70" s="5" t="s">
        <v>9</v>
      </c>
      <c r="F70" s="5" t="s">
        <v>41</v>
      </c>
      <c r="G70" s="5" t="s">
        <v>114</v>
      </c>
      <c r="H70" s="5" t="s">
        <v>115</v>
      </c>
      <c r="I70" s="5" t="s">
        <v>8</v>
      </c>
      <c r="J70" s="5" t="s">
        <v>486</v>
      </c>
      <c r="K70" s="5" t="s">
        <v>487</v>
      </c>
      <c r="L70" s="5" t="s">
        <v>488</v>
      </c>
      <c r="M70" s="5" t="s">
        <v>489</v>
      </c>
      <c r="N70" s="5" t="s">
        <v>797</v>
      </c>
      <c r="O70" s="5" t="s">
        <v>713</v>
      </c>
      <c r="P70" s="18">
        <v>46139</v>
      </c>
      <c r="Q70" s="5"/>
      <c r="R70" s="13" t="s">
        <v>754</v>
      </c>
    </row>
    <row r="71" spans="1:18" ht="104.25" customHeight="1">
      <c r="A71" s="12" t="s">
        <v>490</v>
      </c>
      <c r="B71" s="5" t="s">
        <v>41</v>
      </c>
      <c r="C71" s="5" t="s">
        <v>491</v>
      </c>
      <c r="D71" s="5" t="s">
        <v>492</v>
      </c>
      <c r="E71" s="5" t="s">
        <v>12</v>
      </c>
      <c r="F71" s="5" t="s">
        <v>41</v>
      </c>
      <c r="G71" s="5" t="s">
        <v>114</v>
      </c>
      <c r="H71" s="5" t="s">
        <v>115</v>
      </c>
      <c r="I71" s="5" t="s">
        <v>8</v>
      </c>
      <c r="J71" s="5" t="s">
        <v>486</v>
      </c>
      <c r="K71" s="5" t="s">
        <v>493</v>
      </c>
      <c r="L71" s="5" t="s">
        <v>494</v>
      </c>
      <c r="M71" s="5" t="s">
        <v>495</v>
      </c>
      <c r="N71" s="5" t="s">
        <v>798</v>
      </c>
      <c r="O71" s="5" t="s">
        <v>713</v>
      </c>
      <c r="P71" s="18">
        <v>46139</v>
      </c>
      <c r="Q71" s="5"/>
      <c r="R71" s="13" t="s">
        <v>754</v>
      </c>
    </row>
    <row r="72" spans="1:18" ht="109.5" customHeight="1">
      <c r="A72" s="12" t="s">
        <v>496</v>
      </c>
      <c r="B72" s="5" t="s">
        <v>41</v>
      </c>
      <c r="C72" s="5" t="s">
        <v>497</v>
      </c>
      <c r="D72" s="5" t="s">
        <v>498</v>
      </c>
      <c r="E72" s="5" t="s">
        <v>12</v>
      </c>
      <c r="F72" s="5" t="s">
        <v>41</v>
      </c>
      <c r="G72" s="5" t="s">
        <v>359</v>
      </c>
      <c r="H72" s="5" t="s">
        <v>360</v>
      </c>
      <c r="I72" s="5" t="s">
        <v>8</v>
      </c>
      <c r="J72" s="5" t="s">
        <v>499</v>
      </c>
      <c r="K72" s="5" t="s">
        <v>500</v>
      </c>
      <c r="L72" s="5" t="s">
        <v>501</v>
      </c>
      <c r="M72" s="5" t="s">
        <v>502</v>
      </c>
      <c r="N72" s="5" t="s">
        <v>799</v>
      </c>
      <c r="O72" s="5" t="s">
        <v>713</v>
      </c>
      <c r="P72" s="18">
        <v>46139</v>
      </c>
      <c r="Q72" s="5"/>
      <c r="R72" s="13" t="s">
        <v>754</v>
      </c>
    </row>
    <row r="73" spans="1:18" ht="105.75" customHeight="1">
      <c r="A73" s="12" t="s">
        <v>503</v>
      </c>
      <c r="B73" s="5" t="s">
        <v>41</v>
      </c>
      <c r="C73" s="5" t="s">
        <v>504</v>
      </c>
      <c r="D73" s="5" t="s">
        <v>505</v>
      </c>
      <c r="E73" s="5" t="s">
        <v>12</v>
      </c>
      <c r="F73" s="5" t="s">
        <v>41</v>
      </c>
      <c r="G73" s="5" t="s">
        <v>359</v>
      </c>
      <c r="H73" s="5" t="s">
        <v>360</v>
      </c>
      <c r="I73" s="5" t="s">
        <v>8</v>
      </c>
      <c r="J73" s="5" t="s">
        <v>506</v>
      </c>
      <c r="K73" s="5" t="s">
        <v>507</v>
      </c>
      <c r="L73" s="5" t="s">
        <v>508</v>
      </c>
      <c r="M73" s="5" t="s">
        <v>509</v>
      </c>
      <c r="N73" s="5" t="s">
        <v>800</v>
      </c>
      <c r="O73" s="5" t="s">
        <v>713</v>
      </c>
      <c r="P73" s="18">
        <v>46139</v>
      </c>
      <c r="Q73" s="5"/>
      <c r="R73" s="13" t="s">
        <v>754</v>
      </c>
    </row>
    <row r="74" spans="1:18" ht="107.25" customHeight="1">
      <c r="A74" s="12" t="s">
        <v>510</v>
      </c>
      <c r="B74" s="5" t="s">
        <v>24</v>
      </c>
      <c r="C74" s="5" t="s">
        <v>511</v>
      </c>
      <c r="D74" s="5" t="s">
        <v>512</v>
      </c>
      <c r="E74" s="5" t="s">
        <v>12</v>
      </c>
      <c r="F74" s="5" t="s">
        <v>24</v>
      </c>
      <c r="G74" s="5" t="s">
        <v>359</v>
      </c>
      <c r="H74" s="5" t="s">
        <v>360</v>
      </c>
      <c r="I74" s="5" t="s">
        <v>8</v>
      </c>
      <c r="J74" s="5" t="s">
        <v>513</v>
      </c>
      <c r="K74" s="5" t="s">
        <v>511</v>
      </c>
      <c r="L74" s="5" t="s">
        <v>514</v>
      </c>
      <c r="M74" s="5" t="s">
        <v>515</v>
      </c>
      <c r="N74" s="5" t="s">
        <v>801</v>
      </c>
      <c r="O74" s="5" t="s">
        <v>713</v>
      </c>
      <c r="P74" s="18">
        <v>46139</v>
      </c>
      <c r="Q74" s="5"/>
      <c r="R74" s="13" t="s">
        <v>754</v>
      </c>
    </row>
    <row r="75" spans="1:18" ht="104.25" customHeight="1">
      <c r="A75" s="12" t="s">
        <v>516</v>
      </c>
      <c r="B75" s="5" t="s">
        <v>24</v>
      </c>
      <c r="C75" s="5" t="s">
        <v>517</v>
      </c>
      <c r="D75" s="5" t="s">
        <v>518</v>
      </c>
      <c r="E75" s="5" t="s">
        <v>12</v>
      </c>
      <c r="F75" s="5" t="s">
        <v>24</v>
      </c>
      <c r="G75" s="5" t="s">
        <v>114</v>
      </c>
      <c r="H75" s="5" t="s">
        <v>115</v>
      </c>
      <c r="I75" s="5" t="s">
        <v>8</v>
      </c>
      <c r="J75" s="5" t="s">
        <v>519</v>
      </c>
      <c r="K75" s="5" t="s">
        <v>520</v>
      </c>
      <c r="L75" s="5" t="s">
        <v>521</v>
      </c>
      <c r="M75" s="5" t="s">
        <v>522</v>
      </c>
      <c r="N75" s="5" t="s">
        <v>802</v>
      </c>
      <c r="O75" s="5" t="s">
        <v>713</v>
      </c>
      <c r="P75" s="18">
        <v>46139</v>
      </c>
      <c r="Q75" s="5"/>
      <c r="R75" s="13" t="s">
        <v>754</v>
      </c>
    </row>
    <row r="76" spans="1:18" ht="102" customHeight="1">
      <c r="A76" s="12" t="s">
        <v>523</v>
      </c>
      <c r="B76" s="5" t="s">
        <v>24</v>
      </c>
      <c r="C76" s="5" t="s">
        <v>524</v>
      </c>
      <c r="D76" s="5" t="s">
        <v>525</v>
      </c>
      <c r="E76" s="5" t="s">
        <v>9</v>
      </c>
      <c r="F76" s="5" t="s">
        <v>24</v>
      </c>
      <c r="G76" s="5" t="s">
        <v>62</v>
      </c>
      <c r="H76" s="5" t="s">
        <v>72</v>
      </c>
      <c r="I76" s="5" t="s">
        <v>8</v>
      </c>
      <c r="J76" s="5" t="s">
        <v>526</v>
      </c>
      <c r="K76" s="5" t="s">
        <v>527</v>
      </c>
      <c r="L76" s="5" t="s">
        <v>528</v>
      </c>
      <c r="M76" s="5" t="s">
        <v>529</v>
      </c>
      <c r="N76" s="5" t="s">
        <v>803</v>
      </c>
      <c r="O76" s="5" t="s">
        <v>713</v>
      </c>
      <c r="P76" s="18">
        <v>46139</v>
      </c>
      <c r="Q76" s="5"/>
      <c r="R76" s="13" t="s">
        <v>754</v>
      </c>
    </row>
    <row r="77" spans="1:18" ht="109.5" customHeight="1">
      <c r="A77" s="12" t="s">
        <v>530</v>
      </c>
      <c r="B77" s="5" t="s">
        <v>40</v>
      </c>
      <c r="C77" s="5" t="s">
        <v>531</v>
      </c>
      <c r="D77" s="5" t="s">
        <v>532</v>
      </c>
      <c r="E77" s="5" t="s">
        <v>12</v>
      </c>
      <c r="F77" s="5" t="s">
        <v>40</v>
      </c>
      <c r="G77" s="5" t="s">
        <v>359</v>
      </c>
      <c r="H77" s="5" t="s">
        <v>360</v>
      </c>
      <c r="I77" s="5" t="s">
        <v>8</v>
      </c>
      <c r="J77" s="5" t="s">
        <v>533</v>
      </c>
      <c r="K77" s="5" t="s">
        <v>534</v>
      </c>
      <c r="L77" s="5" t="s">
        <v>535</v>
      </c>
      <c r="M77" s="5" t="s">
        <v>536</v>
      </c>
      <c r="N77" s="5" t="s">
        <v>804</v>
      </c>
      <c r="O77" s="5" t="s">
        <v>713</v>
      </c>
      <c r="P77" s="18">
        <v>46139</v>
      </c>
      <c r="Q77" s="5"/>
      <c r="R77" s="13" t="s">
        <v>754</v>
      </c>
    </row>
    <row r="78" spans="1:18" ht="107.25" customHeight="1">
      <c r="A78" s="12" t="s">
        <v>537</v>
      </c>
      <c r="B78" s="5" t="s">
        <v>40</v>
      </c>
      <c r="C78" s="5" t="s">
        <v>538</v>
      </c>
      <c r="D78" s="5" t="s">
        <v>539</v>
      </c>
      <c r="E78" s="5" t="s">
        <v>12</v>
      </c>
      <c r="F78" s="5" t="s">
        <v>40</v>
      </c>
      <c r="G78" s="5" t="s">
        <v>359</v>
      </c>
      <c r="H78" s="5" t="s">
        <v>360</v>
      </c>
      <c r="I78" s="5" t="s">
        <v>8</v>
      </c>
      <c r="J78" s="5" t="s">
        <v>226</v>
      </c>
      <c r="K78" s="5" t="s">
        <v>540</v>
      </c>
      <c r="L78" s="5" t="s">
        <v>541</v>
      </c>
      <c r="M78" s="5" t="s">
        <v>542</v>
      </c>
      <c r="N78" s="5" t="s">
        <v>805</v>
      </c>
      <c r="O78" s="5" t="s">
        <v>713</v>
      </c>
      <c r="P78" s="18">
        <v>46139</v>
      </c>
      <c r="Q78" s="5"/>
      <c r="R78" s="13" t="s">
        <v>754</v>
      </c>
    </row>
    <row r="79" spans="1:18" ht="106.5" customHeight="1">
      <c r="A79" s="12" t="s">
        <v>543</v>
      </c>
      <c r="B79" s="5" t="s">
        <v>26</v>
      </c>
      <c r="C79" s="5" t="s">
        <v>544</v>
      </c>
      <c r="D79" s="5" t="s">
        <v>545</v>
      </c>
      <c r="E79" s="5" t="s">
        <v>9</v>
      </c>
      <c r="F79" s="5" t="s">
        <v>39</v>
      </c>
      <c r="G79" s="5" t="s">
        <v>359</v>
      </c>
      <c r="H79" s="5" t="s">
        <v>360</v>
      </c>
      <c r="I79" s="5" t="s">
        <v>8</v>
      </c>
      <c r="J79" s="5" t="s">
        <v>546</v>
      </c>
      <c r="K79" s="5" t="s">
        <v>547</v>
      </c>
      <c r="L79" s="5" t="s">
        <v>548</v>
      </c>
      <c r="M79" s="5" t="s">
        <v>549</v>
      </c>
      <c r="N79" s="5" t="s">
        <v>806</v>
      </c>
      <c r="O79" s="5" t="s">
        <v>713</v>
      </c>
      <c r="P79" s="18">
        <v>46139</v>
      </c>
      <c r="Q79" s="5"/>
      <c r="R79" s="13" t="s">
        <v>754</v>
      </c>
    </row>
    <row r="80" spans="1:18" ht="108.75" customHeight="1">
      <c r="A80" s="12" t="s">
        <v>550</v>
      </c>
      <c r="B80" s="5" t="s">
        <v>39</v>
      </c>
      <c r="C80" s="5" t="s">
        <v>551</v>
      </c>
      <c r="D80" s="5" t="s">
        <v>552</v>
      </c>
      <c r="E80" s="5" t="s">
        <v>12</v>
      </c>
      <c r="F80" s="5" t="s">
        <v>39</v>
      </c>
      <c r="G80" s="5" t="s">
        <v>114</v>
      </c>
      <c r="H80" s="5" t="s">
        <v>115</v>
      </c>
      <c r="I80" s="5" t="s">
        <v>8</v>
      </c>
      <c r="J80" s="5" t="s">
        <v>553</v>
      </c>
      <c r="K80" s="5" t="s">
        <v>554</v>
      </c>
      <c r="L80" s="5" t="s">
        <v>555</v>
      </c>
      <c r="M80" s="5" t="s">
        <v>556</v>
      </c>
      <c r="N80" s="5" t="s">
        <v>807</v>
      </c>
      <c r="O80" s="5" t="s">
        <v>713</v>
      </c>
      <c r="P80" s="18">
        <v>46139</v>
      </c>
      <c r="Q80" s="5"/>
      <c r="R80" s="13" t="s">
        <v>754</v>
      </c>
    </row>
    <row r="81" spans="1:18" ht="111.75" customHeight="1">
      <c r="A81" s="14" t="s">
        <v>557</v>
      </c>
      <c r="B81" s="15" t="s">
        <v>39</v>
      </c>
      <c r="C81" s="15" t="s">
        <v>558</v>
      </c>
      <c r="D81" s="15" t="s">
        <v>559</v>
      </c>
      <c r="E81" s="15" t="s">
        <v>12</v>
      </c>
      <c r="F81" s="15" t="s">
        <v>39</v>
      </c>
      <c r="G81" s="15" t="s">
        <v>62</v>
      </c>
      <c r="H81" s="15" t="s">
        <v>72</v>
      </c>
      <c r="I81" s="15" t="s">
        <v>8</v>
      </c>
      <c r="J81" s="15" t="s">
        <v>560</v>
      </c>
      <c r="K81" s="15" t="s">
        <v>561</v>
      </c>
      <c r="L81" s="15" t="s">
        <v>562</v>
      </c>
      <c r="M81" s="15" t="s">
        <v>563</v>
      </c>
      <c r="N81" s="15" t="s">
        <v>808</v>
      </c>
      <c r="O81" s="15" t="s">
        <v>713</v>
      </c>
      <c r="P81" s="19">
        <v>46139</v>
      </c>
      <c r="Q81" s="15"/>
      <c r="R81" s="16" t="s">
        <v>754</v>
      </c>
    </row>
    <row r="82" spans="1:18">
      <c r="P82" s="20"/>
    </row>
    <row r="83" spans="1:18">
      <c r="P83" s="20"/>
    </row>
    <row r="84" spans="1:18">
      <c r="P84" s="20"/>
    </row>
    <row r="85" spans="1:18">
      <c r="P85" s="20"/>
    </row>
    <row r="86" spans="1:18">
      <c r="P86" s="20"/>
    </row>
    <row r="87" spans="1:18">
      <c r="P87" s="20"/>
    </row>
    <row r="88" spans="1:18">
      <c r="P88" s="20"/>
    </row>
    <row r="89" spans="1:18">
      <c r="P89" s="20"/>
    </row>
    <row r="90" spans="1:18">
      <c r="P90" s="20"/>
    </row>
    <row r="91" spans="1:18">
      <c r="P91" s="20"/>
    </row>
    <row r="92" spans="1:18">
      <c r="P92" s="20"/>
    </row>
    <row r="93" spans="1:18">
      <c r="P93" s="20"/>
    </row>
    <row r="94" spans="1:18">
      <c r="P94" s="20"/>
    </row>
    <row r="95" spans="1:18">
      <c r="P95" s="20"/>
    </row>
    <row r="96" spans="1:18">
      <c r="P96" s="20"/>
    </row>
    <row r="97" spans="16:16">
      <c r="P97" s="20"/>
    </row>
    <row r="98" spans="16:16">
      <c r="P98" s="20"/>
    </row>
    <row r="99" spans="16:16">
      <c r="P99" s="20"/>
    </row>
    <row r="100" spans="16:16">
      <c r="P100" s="20"/>
    </row>
    <row r="101" spans="16:16">
      <c r="P101" s="20"/>
    </row>
    <row r="102" spans="16:16">
      <c r="P102" s="20"/>
    </row>
    <row r="103" spans="16:16">
      <c r="P103" s="20"/>
    </row>
    <row r="104" spans="16:16">
      <c r="P104" s="20"/>
    </row>
    <row r="105" spans="16:16">
      <c r="P105" s="20"/>
    </row>
    <row r="106" spans="16:16">
      <c r="P106" s="20"/>
    </row>
    <row r="107" spans="16:16">
      <c r="P107" s="20"/>
    </row>
    <row r="108" spans="16:16">
      <c r="P108" s="20"/>
    </row>
    <row r="109" spans="16:16">
      <c r="P109" s="20"/>
    </row>
    <row r="110" spans="16:16">
      <c r="P110" s="20"/>
    </row>
    <row r="111" spans="16:16">
      <c r="P111" s="20"/>
    </row>
    <row r="112" spans="16:16">
      <c r="P112" s="20"/>
    </row>
    <row r="113" spans="16:16">
      <c r="P113" s="20"/>
    </row>
    <row r="114" spans="16:16">
      <c r="P114" s="20"/>
    </row>
    <row r="115" spans="16:16">
      <c r="P115" s="20"/>
    </row>
    <row r="116" spans="16:16">
      <c r="P116" s="20"/>
    </row>
    <row r="117" spans="16:16">
      <c r="P117" s="20"/>
    </row>
    <row r="118" spans="16:16">
      <c r="P118" s="20"/>
    </row>
    <row r="119" spans="16:16">
      <c r="P119" s="20"/>
    </row>
    <row r="120" spans="16:16">
      <c r="P120" s="20"/>
    </row>
    <row r="121" spans="16:16">
      <c r="P121" s="20"/>
    </row>
    <row r="122" spans="16:16">
      <c r="P122" s="20"/>
    </row>
    <row r="123" spans="16:16">
      <c r="P123" s="20"/>
    </row>
    <row r="124" spans="16:16">
      <c r="P124" s="20"/>
    </row>
    <row r="125" spans="16:16">
      <c r="P125" s="20"/>
    </row>
    <row r="126" spans="16:16">
      <c r="P126" s="20"/>
    </row>
    <row r="127" spans="16:16">
      <c r="P127" s="20"/>
    </row>
    <row r="128" spans="16:16">
      <c r="P128" s="20"/>
    </row>
    <row r="129" spans="16:16">
      <c r="P129" s="20"/>
    </row>
    <row r="130" spans="16:16">
      <c r="P130" s="20"/>
    </row>
    <row r="131" spans="16:16">
      <c r="P131" s="20"/>
    </row>
    <row r="132" spans="16:16">
      <c r="P132" s="20"/>
    </row>
    <row r="133" spans="16:16">
      <c r="P133" s="20"/>
    </row>
    <row r="134" spans="16:16">
      <c r="P134" s="20"/>
    </row>
    <row r="135" spans="16:16">
      <c r="P135" s="20"/>
    </row>
    <row r="136" spans="16:16">
      <c r="P136" s="20"/>
    </row>
    <row r="137" spans="16:16">
      <c r="P137" s="20"/>
    </row>
    <row r="138" spans="16:16">
      <c r="P138" s="20"/>
    </row>
    <row r="139" spans="16:16">
      <c r="P139" s="20"/>
    </row>
    <row r="140" spans="16:16">
      <c r="P140" s="20"/>
    </row>
    <row r="141" spans="16:16">
      <c r="P141" s="20"/>
    </row>
    <row r="142" spans="16:16">
      <c r="P142" s="20"/>
    </row>
    <row r="143" spans="16:16">
      <c r="P143" s="20"/>
    </row>
    <row r="144" spans="16:16">
      <c r="P144" s="20"/>
    </row>
    <row r="145" spans="16:16">
      <c r="P145" s="20"/>
    </row>
    <row r="146" spans="16:16">
      <c r="P146" s="20"/>
    </row>
    <row r="147" spans="16:16">
      <c r="P147" s="20"/>
    </row>
    <row r="148" spans="16:16">
      <c r="P148" s="20"/>
    </row>
    <row r="149" spans="16:16">
      <c r="P149" s="20"/>
    </row>
    <row r="150" spans="16:16">
      <c r="P150" s="20"/>
    </row>
    <row r="151" spans="16:16">
      <c r="P151" s="20"/>
    </row>
    <row r="152" spans="16:16">
      <c r="P152" s="20"/>
    </row>
    <row r="153" spans="16:16">
      <c r="P153" s="20"/>
    </row>
    <row r="154" spans="16:16">
      <c r="P154" s="20"/>
    </row>
    <row r="155" spans="16:16">
      <c r="P155" s="20"/>
    </row>
    <row r="156" spans="16:16">
      <c r="P156" s="20"/>
    </row>
    <row r="157" spans="16:16">
      <c r="P157" s="20"/>
    </row>
    <row r="158" spans="16:16">
      <c r="P158" s="20"/>
    </row>
    <row r="159" spans="16:16">
      <c r="P159" s="20"/>
    </row>
    <row r="160" spans="16:16">
      <c r="P160" s="20"/>
    </row>
    <row r="161" spans="16:16">
      <c r="P161" s="20"/>
    </row>
    <row r="162" spans="16:16">
      <c r="P162" s="20"/>
    </row>
    <row r="163" spans="16:16">
      <c r="P163" s="20"/>
    </row>
    <row r="164" spans="16:16">
      <c r="P164" s="20"/>
    </row>
    <row r="165" spans="16:16">
      <c r="P165" s="20"/>
    </row>
    <row r="166" spans="16:16">
      <c r="P166" s="20"/>
    </row>
    <row r="167" spans="16:16">
      <c r="P167" s="20"/>
    </row>
    <row r="168" spans="16:16">
      <c r="P168" s="20"/>
    </row>
    <row r="169" spans="16:16">
      <c r="P169" s="20"/>
    </row>
    <row r="170" spans="16:16">
      <c r="P170" s="20"/>
    </row>
    <row r="171" spans="16:16">
      <c r="P171" s="20"/>
    </row>
    <row r="172" spans="16:16">
      <c r="P172" s="20"/>
    </row>
    <row r="173" spans="16:16">
      <c r="P173" s="20"/>
    </row>
    <row r="174" spans="16:16">
      <c r="P174" s="20"/>
    </row>
    <row r="175" spans="16:16">
      <c r="P175" s="20"/>
    </row>
    <row r="176" spans="16:16">
      <c r="P176" s="20"/>
    </row>
    <row r="177" spans="16:16">
      <c r="P177" s="20"/>
    </row>
    <row r="178" spans="16:16">
      <c r="P178" s="20"/>
    </row>
    <row r="179" spans="16:16">
      <c r="P179" s="20"/>
    </row>
    <row r="180" spans="16:16">
      <c r="P180" s="20"/>
    </row>
    <row r="181" spans="16:16">
      <c r="P181" s="20"/>
    </row>
    <row r="182" spans="16:16">
      <c r="P182" s="20"/>
    </row>
    <row r="183" spans="16:16">
      <c r="P183" s="20"/>
    </row>
    <row r="184" spans="16:16">
      <c r="P184" s="20"/>
    </row>
    <row r="185" spans="16:16">
      <c r="P185" s="20"/>
    </row>
    <row r="186" spans="16:16">
      <c r="P186" s="20"/>
    </row>
    <row r="187" spans="16:16">
      <c r="P187" s="20"/>
    </row>
    <row r="188" spans="16:16">
      <c r="P188" s="20"/>
    </row>
    <row r="189" spans="16:16">
      <c r="P189" s="20"/>
    </row>
    <row r="190" spans="16:16">
      <c r="P190" s="20"/>
    </row>
    <row r="191" spans="16:16">
      <c r="P191" s="20"/>
    </row>
    <row r="192" spans="16:16">
      <c r="P192" s="20"/>
    </row>
    <row r="193" spans="16:16">
      <c r="P193" s="20"/>
    </row>
    <row r="194" spans="16:16">
      <c r="P194" s="20"/>
    </row>
    <row r="195" spans="16:16">
      <c r="P195" s="20"/>
    </row>
    <row r="196" spans="16:16">
      <c r="P196" s="20"/>
    </row>
    <row r="197" spans="16:16">
      <c r="P197" s="20"/>
    </row>
    <row r="198" spans="16:16">
      <c r="P198" s="20"/>
    </row>
    <row r="199" spans="16:16">
      <c r="P199" s="20"/>
    </row>
    <row r="200" spans="16:16">
      <c r="P200" s="20"/>
    </row>
    <row r="201" spans="16:16">
      <c r="P201" s="20"/>
    </row>
    <row r="202" spans="16:16">
      <c r="P202" s="20"/>
    </row>
    <row r="203" spans="16:16">
      <c r="P203" s="20"/>
    </row>
    <row r="204" spans="16:16">
      <c r="P204" s="20"/>
    </row>
    <row r="205" spans="16:16">
      <c r="P205" s="20"/>
    </row>
    <row r="206" spans="16:16">
      <c r="P206" s="20"/>
    </row>
    <row r="207" spans="16:16">
      <c r="P207" s="20"/>
    </row>
    <row r="208" spans="16:16">
      <c r="P208" s="20"/>
    </row>
    <row r="209" spans="16:16">
      <c r="P209" s="20"/>
    </row>
    <row r="210" spans="16:16">
      <c r="P210" s="20"/>
    </row>
    <row r="211" spans="16:16">
      <c r="P211" s="20"/>
    </row>
    <row r="212" spans="16:16">
      <c r="P212" s="20"/>
    </row>
    <row r="213" spans="16:16">
      <c r="P213" s="20"/>
    </row>
    <row r="214" spans="16:16">
      <c r="P214" s="20"/>
    </row>
    <row r="215" spans="16:16">
      <c r="P215" s="20"/>
    </row>
    <row r="216" spans="16:16">
      <c r="P216" s="20"/>
    </row>
    <row r="217" spans="16:16">
      <c r="P217" s="20"/>
    </row>
    <row r="218" spans="16:16">
      <c r="P218" s="20"/>
    </row>
    <row r="219" spans="16:16">
      <c r="P219" s="20"/>
    </row>
    <row r="220" spans="16:16">
      <c r="P220" s="20"/>
    </row>
    <row r="221" spans="16:16">
      <c r="P221" s="20"/>
    </row>
    <row r="222" spans="16:16">
      <c r="P222" s="20"/>
    </row>
    <row r="223" spans="16:16">
      <c r="P223" s="20"/>
    </row>
    <row r="224" spans="16:16">
      <c r="P224" s="20"/>
    </row>
    <row r="225" spans="16:16">
      <c r="P225" s="20"/>
    </row>
    <row r="226" spans="16:16">
      <c r="P226" s="20"/>
    </row>
    <row r="227" spans="16:16">
      <c r="P227" s="20"/>
    </row>
    <row r="228" spans="16:16">
      <c r="P228" s="20"/>
    </row>
    <row r="229" spans="16:16">
      <c r="P229" s="20"/>
    </row>
    <row r="230" spans="16:16">
      <c r="P230" s="20"/>
    </row>
    <row r="231" spans="16:16">
      <c r="P231" s="20"/>
    </row>
    <row r="232" spans="16:16">
      <c r="P232" s="20"/>
    </row>
    <row r="233" spans="16:16">
      <c r="P233" s="20"/>
    </row>
    <row r="234" spans="16:16">
      <c r="P234" s="20"/>
    </row>
    <row r="235" spans="16:16">
      <c r="P235" s="20"/>
    </row>
    <row r="236" spans="16:16">
      <c r="P236" s="20"/>
    </row>
    <row r="237" spans="16:16">
      <c r="P237" s="20"/>
    </row>
    <row r="238" spans="16:16">
      <c r="P238" s="20"/>
    </row>
    <row r="239" spans="16:16">
      <c r="P239" s="20"/>
    </row>
    <row r="240" spans="16:16">
      <c r="P240" s="20"/>
    </row>
    <row r="241" spans="16:16">
      <c r="P241" s="20"/>
    </row>
    <row r="242" spans="16:16">
      <c r="P242" s="20"/>
    </row>
    <row r="243" spans="16:16">
      <c r="P243" s="20"/>
    </row>
    <row r="244" spans="16:16">
      <c r="P244" s="20"/>
    </row>
    <row r="245" spans="16:16">
      <c r="P245" s="20"/>
    </row>
    <row r="246" spans="16:16">
      <c r="P246" s="20"/>
    </row>
    <row r="247" spans="16:16">
      <c r="P247" s="20"/>
    </row>
    <row r="248" spans="16:16">
      <c r="P248" s="20"/>
    </row>
    <row r="249" spans="16:16">
      <c r="P249" s="20"/>
    </row>
    <row r="250" spans="16:16">
      <c r="P250" s="20"/>
    </row>
    <row r="251" spans="16:16">
      <c r="P251" s="20"/>
    </row>
    <row r="252" spans="16:16">
      <c r="P252" s="20"/>
    </row>
    <row r="253" spans="16:16">
      <c r="P253" s="20"/>
    </row>
    <row r="254" spans="16:16">
      <c r="P254" s="20"/>
    </row>
    <row r="255" spans="16:16">
      <c r="P255" s="20"/>
    </row>
    <row r="256" spans="16:16">
      <c r="P256" s="20"/>
    </row>
    <row r="257" spans="16:16">
      <c r="P257" s="20"/>
    </row>
    <row r="258" spans="16:16">
      <c r="P258" s="20"/>
    </row>
    <row r="259" spans="16:16">
      <c r="P259" s="20"/>
    </row>
    <row r="260" spans="16:16">
      <c r="P260" s="20"/>
    </row>
    <row r="261" spans="16:16">
      <c r="P261" s="20"/>
    </row>
    <row r="262" spans="16:16">
      <c r="P262" s="20"/>
    </row>
    <row r="263" spans="16:16">
      <c r="P263" s="20"/>
    </row>
    <row r="264" spans="16:16">
      <c r="P264" s="20"/>
    </row>
    <row r="265" spans="16:16">
      <c r="P265" s="20"/>
    </row>
    <row r="266" spans="16:16">
      <c r="P266" s="20"/>
    </row>
    <row r="267" spans="16:16">
      <c r="P267" s="20"/>
    </row>
    <row r="268" spans="16:16">
      <c r="P268" s="20"/>
    </row>
    <row r="269" spans="16:16">
      <c r="P269" s="20"/>
    </row>
    <row r="270" spans="16:16">
      <c r="P270" s="20"/>
    </row>
    <row r="271" spans="16:16">
      <c r="P271" s="20"/>
    </row>
    <row r="272" spans="16:16">
      <c r="P272" s="20"/>
    </row>
    <row r="273" spans="16:16">
      <c r="P273" s="20"/>
    </row>
    <row r="274" spans="16:16">
      <c r="P274" s="20"/>
    </row>
    <row r="275" spans="16:16">
      <c r="P275" s="20"/>
    </row>
    <row r="276" spans="16:16">
      <c r="P276" s="20"/>
    </row>
    <row r="277" spans="16:16">
      <c r="P277" s="20"/>
    </row>
    <row r="278" spans="16:16">
      <c r="P278" s="20"/>
    </row>
    <row r="279" spans="16:16">
      <c r="P279" s="20"/>
    </row>
    <row r="280" spans="16:16">
      <c r="P280" s="20"/>
    </row>
    <row r="281" spans="16:16">
      <c r="P281" s="20"/>
    </row>
    <row r="282" spans="16:16">
      <c r="P282" s="20"/>
    </row>
    <row r="283" spans="16:16">
      <c r="P283" s="20"/>
    </row>
    <row r="284" spans="16:16">
      <c r="P284" s="20"/>
    </row>
    <row r="285" spans="16:16">
      <c r="P285" s="20"/>
    </row>
    <row r="286" spans="16:16">
      <c r="P286" s="20"/>
    </row>
    <row r="287" spans="16:16">
      <c r="P287" s="20"/>
    </row>
    <row r="288" spans="16:16">
      <c r="P288" s="20"/>
    </row>
    <row r="289" spans="16:16">
      <c r="P289" s="20"/>
    </row>
    <row r="290" spans="16:16">
      <c r="P290" s="20"/>
    </row>
    <row r="291" spans="16:16">
      <c r="P291" s="20"/>
    </row>
    <row r="292" spans="16:16">
      <c r="P292" s="20"/>
    </row>
    <row r="293" spans="16:16">
      <c r="P293" s="20"/>
    </row>
    <row r="294" spans="16:16">
      <c r="P294" s="20"/>
    </row>
    <row r="295" spans="16:16">
      <c r="P295" s="20"/>
    </row>
    <row r="296" spans="16:16">
      <c r="P296" s="20"/>
    </row>
    <row r="297" spans="16:16">
      <c r="P297" s="20"/>
    </row>
    <row r="298" spans="16:16">
      <c r="P298" s="20"/>
    </row>
    <row r="299" spans="16:16">
      <c r="P299" s="20"/>
    </row>
    <row r="300" spans="16:16">
      <c r="P300" s="20"/>
    </row>
    <row r="301" spans="16:16">
      <c r="P301" s="20"/>
    </row>
    <row r="302" spans="16:16">
      <c r="P302" s="20"/>
    </row>
    <row r="303" spans="16:16">
      <c r="P303" s="20"/>
    </row>
    <row r="304" spans="16:16">
      <c r="P304" s="20"/>
    </row>
    <row r="305" spans="16:16">
      <c r="P305" s="20"/>
    </row>
    <row r="306" spans="16:16">
      <c r="P306" s="20"/>
    </row>
    <row r="307" spans="16:16">
      <c r="P307" s="20"/>
    </row>
    <row r="308" spans="16:16">
      <c r="P308" s="20"/>
    </row>
    <row r="309" spans="16:16">
      <c r="P309" s="20"/>
    </row>
    <row r="310" spans="16:16">
      <c r="P310" s="20"/>
    </row>
    <row r="311" spans="16:16">
      <c r="P311" s="20"/>
    </row>
    <row r="312" spans="16:16">
      <c r="P312" s="20"/>
    </row>
    <row r="313" spans="16:16">
      <c r="P313" s="20"/>
    </row>
    <row r="314" spans="16:16">
      <c r="P314" s="20"/>
    </row>
    <row r="315" spans="16:16">
      <c r="P315" s="20"/>
    </row>
    <row r="316" spans="16:16">
      <c r="P316" s="20"/>
    </row>
    <row r="317" spans="16:16">
      <c r="P317" s="20"/>
    </row>
    <row r="318" spans="16:16">
      <c r="P318" s="20"/>
    </row>
    <row r="319" spans="16:16">
      <c r="P319" s="20"/>
    </row>
    <row r="320" spans="16:16">
      <c r="P320" s="20"/>
    </row>
    <row r="321" spans="16:16">
      <c r="P321" s="20"/>
    </row>
    <row r="322" spans="16:16">
      <c r="P322" s="20"/>
    </row>
    <row r="323" spans="16:16">
      <c r="P323" s="20"/>
    </row>
    <row r="324" spans="16:16">
      <c r="P324" s="20"/>
    </row>
    <row r="325" spans="16:16">
      <c r="P325" s="20"/>
    </row>
    <row r="326" spans="16:16">
      <c r="P326" s="20"/>
    </row>
    <row r="327" spans="16:16">
      <c r="P327" s="20"/>
    </row>
    <row r="328" spans="16:16">
      <c r="P328" s="20"/>
    </row>
    <row r="329" spans="16:16">
      <c r="P329" s="20"/>
    </row>
    <row r="330" spans="16:16">
      <c r="P330" s="20"/>
    </row>
    <row r="331" spans="16:16">
      <c r="P331" s="20"/>
    </row>
    <row r="332" spans="16:16">
      <c r="P332" s="20"/>
    </row>
    <row r="333" spans="16:16">
      <c r="P333" s="20"/>
    </row>
    <row r="334" spans="16:16">
      <c r="P334" s="20"/>
    </row>
    <row r="335" spans="16:16">
      <c r="P335" s="20"/>
    </row>
    <row r="336" spans="16:16">
      <c r="P336" s="20"/>
    </row>
    <row r="337" spans="16:16">
      <c r="P337" s="20"/>
    </row>
    <row r="338" spans="16:16">
      <c r="P338" s="20"/>
    </row>
    <row r="339" spans="16:16">
      <c r="P339" s="20"/>
    </row>
    <row r="340" spans="16:16">
      <c r="P340" s="20"/>
    </row>
    <row r="341" spans="16:16">
      <c r="P341" s="20"/>
    </row>
    <row r="342" spans="16:16">
      <c r="P342" s="20"/>
    </row>
    <row r="343" spans="16:16">
      <c r="P343" s="20"/>
    </row>
    <row r="344" spans="16:16">
      <c r="P344" s="20"/>
    </row>
    <row r="345" spans="16:16">
      <c r="P345" s="20"/>
    </row>
    <row r="346" spans="16:16">
      <c r="P346" s="20"/>
    </row>
    <row r="347" spans="16:16">
      <c r="P347" s="20"/>
    </row>
    <row r="348" spans="16:16">
      <c r="P348" s="20"/>
    </row>
    <row r="349" spans="16:16">
      <c r="P349" s="20"/>
    </row>
    <row r="350" spans="16:16">
      <c r="P350" s="20"/>
    </row>
    <row r="351" spans="16:16">
      <c r="P351" s="20"/>
    </row>
    <row r="352" spans="16:16">
      <c r="P352" s="20"/>
    </row>
    <row r="353" spans="16:16">
      <c r="P353" s="20"/>
    </row>
    <row r="354" spans="16:16">
      <c r="P354" s="20"/>
    </row>
    <row r="355" spans="16:16">
      <c r="P355" s="20"/>
    </row>
    <row r="356" spans="16:16">
      <c r="P356" s="20"/>
    </row>
    <row r="357" spans="16:16">
      <c r="P357" s="20"/>
    </row>
    <row r="358" spans="16:16">
      <c r="P358" s="20"/>
    </row>
    <row r="359" spans="16:16">
      <c r="P359" s="20"/>
    </row>
    <row r="360" spans="16:16">
      <c r="P360" s="20"/>
    </row>
    <row r="361" spans="16:16">
      <c r="P361" s="20"/>
    </row>
    <row r="362" spans="16:16">
      <c r="P362" s="20"/>
    </row>
    <row r="363" spans="16:16">
      <c r="P363" s="20"/>
    </row>
    <row r="364" spans="16:16">
      <c r="P364" s="20"/>
    </row>
    <row r="365" spans="16:16">
      <c r="P365" s="20"/>
    </row>
    <row r="366" spans="16:16">
      <c r="P366" s="20"/>
    </row>
    <row r="367" spans="16:16">
      <c r="P367" s="20"/>
    </row>
    <row r="368" spans="16:16">
      <c r="P368" s="20"/>
    </row>
    <row r="369" spans="16:16">
      <c r="P369" s="20"/>
    </row>
    <row r="370" spans="16:16">
      <c r="P370" s="20"/>
    </row>
    <row r="371" spans="16:16">
      <c r="P371" s="20"/>
    </row>
    <row r="372" spans="16:16">
      <c r="P372" s="20"/>
    </row>
    <row r="373" spans="16:16">
      <c r="P373" s="20"/>
    </row>
    <row r="374" spans="16:16">
      <c r="P374" s="20"/>
    </row>
    <row r="375" spans="16:16">
      <c r="P375" s="20"/>
    </row>
    <row r="376" spans="16:16">
      <c r="P376" s="20"/>
    </row>
    <row r="377" spans="16:16">
      <c r="P377" s="20"/>
    </row>
    <row r="378" spans="16:16">
      <c r="P378" s="20"/>
    </row>
    <row r="379" spans="16:16">
      <c r="P379" s="20"/>
    </row>
    <row r="380" spans="16:16">
      <c r="P380" s="20"/>
    </row>
    <row r="381" spans="16:16">
      <c r="P381" s="20"/>
    </row>
    <row r="382" spans="16:16">
      <c r="P382" s="20"/>
    </row>
    <row r="383" spans="16:16">
      <c r="P383" s="20"/>
    </row>
    <row r="384" spans="16:16">
      <c r="P384" s="20"/>
    </row>
    <row r="385" spans="16:16">
      <c r="P385" s="20"/>
    </row>
    <row r="386" spans="16:16">
      <c r="P386" s="20"/>
    </row>
    <row r="387" spans="16:16">
      <c r="P387" s="20"/>
    </row>
    <row r="388" spans="16:16">
      <c r="P388" s="20"/>
    </row>
    <row r="389" spans="16:16">
      <c r="P389" s="20"/>
    </row>
    <row r="390" spans="16:16">
      <c r="P390" s="20"/>
    </row>
    <row r="391" spans="16:16">
      <c r="P391" s="20"/>
    </row>
    <row r="392" spans="16:16">
      <c r="P392" s="20"/>
    </row>
    <row r="393" spans="16:16">
      <c r="P393" s="20"/>
    </row>
    <row r="394" spans="16:16">
      <c r="P394" s="20"/>
    </row>
    <row r="395" spans="16:16">
      <c r="P395" s="20"/>
    </row>
    <row r="396" spans="16:16">
      <c r="P396" s="20"/>
    </row>
    <row r="397" spans="16:16">
      <c r="P397" s="20"/>
    </row>
    <row r="398" spans="16:16">
      <c r="P398" s="20"/>
    </row>
    <row r="399" spans="16:16">
      <c r="P399" s="20"/>
    </row>
    <row r="400" spans="16:16">
      <c r="P400" s="20"/>
    </row>
    <row r="401" spans="16:16">
      <c r="P401" s="20"/>
    </row>
    <row r="402" spans="16:16">
      <c r="P402" s="20"/>
    </row>
    <row r="403" spans="16:16">
      <c r="P403" s="20"/>
    </row>
    <row r="404" spans="16:16">
      <c r="P404" s="20"/>
    </row>
    <row r="405" spans="16:16">
      <c r="P405" s="20"/>
    </row>
    <row r="406" spans="16:16">
      <c r="P406" s="20"/>
    </row>
    <row r="407" spans="16:16">
      <c r="P407" s="20"/>
    </row>
    <row r="408" spans="16:16">
      <c r="P408" s="20"/>
    </row>
    <row r="409" spans="16:16">
      <c r="P409" s="20"/>
    </row>
    <row r="410" spans="16:16">
      <c r="P410" s="20"/>
    </row>
    <row r="411" spans="16:16">
      <c r="P411" s="20"/>
    </row>
    <row r="412" spans="16:16">
      <c r="P412" s="20"/>
    </row>
    <row r="413" spans="16:16">
      <c r="P413" s="20"/>
    </row>
    <row r="414" spans="16:16">
      <c r="P414" s="20"/>
    </row>
    <row r="415" spans="16:16">
      <c r="P415" s="20"/>
    </row>
    <row r="416" spans="16:16">
      <c r="P416" s="20"/>
    </row>
    <row r="417" spans="16:16">
      <c r="P417" s="20"/>
    </row>
    <row r="418" spans="16:16">
      <c r="P418" s="20"/>
    </row>
    <row r="419" spans="16:16">
      <c r="P419" s="20"/>
    </row>
    <row r="420" spans="16:16">
      <c r="P420" s="20"/>
    </row>
    <row r="421" spans="16:16">
      <c r="P421" s="20"/>
    </row>
    <row r="422" spans="16:16">
      <c r="P422" s="20"/>
    </row>
    <row r="423" spans="16:16">
      <c r="P423" s="20"/>
    </row>
    <row r="424" spans="16:16">
      <c r="P424" s="20"/>
    </row>
    <row r="425" spans="16:16">
      <c r="P425" s="20"/>
    </row>
    <row r="426" spans="16:16">
      <c r="P426" s="20"/>
    </row>
    <row r="427" spans="16:16">
      <c r="P427" s="20"/>
    </row>
    <row r="428" spans="16:16">
      <c r="P428" s="20"/>
    </row>
    <row r="429" spans="16:16">
      <c r="P429" s="20"/>
    </row>
    <row r="430" spans="16:16">
      <c r="P430" s="20"/>
    </row>
    <row r="431" spans="16:16">
      <c r="P431" s="20"/>
    </row>
    <row r="432" spans="16:16">
      <c r="P432" s="20"/>
    </row>
    <row r="433" spans="16:16">
      <c r="P433" s="20"/>
    </row>
    <row r="434" spans="16:16">
      <c r="P434" s="20"/>
    </row>
    <row r="435" spans="16:16">
      <c r="P435" s="20"/>
    </row>
    <row r="436" spans="16:16">
      <c r="P436" s="20"/>
    </row>
    <row r="437" spans="16:16">
      <c r="P437" s="20"/>
    </row>
    <row r="438" spans="16:16">
      <c r="P438" s="20"/>
    </row>
    <row r="439" spans="16:16">
      <c r="P439" s="20"/>
    </row>
    <row r="440" spans="16:16">
      <c r="P440" s="20"/>
    </row>
    <row r="441" spans="16:16">
      <c r="P441" s="20"/>
    </row>
    <row r="442" spans="16:16">
      <c r="P442" s="20"/>
    </row>
    <row r="443" spans="16:16">
      <c r="P443" s="20"/>
    </row>
    <row r="444" spans="16:16">
      <c r="P444" s="20"/>
    </row>
    <row r="445" spans="16:16">
      <c r="P445" s="20"/>
    </row>
    <row r="446" spans="16:16">
      <c r="P446" s="20"/>
    </row>
    <row r="447" spans="16:16">
      <c r="P447" s="20"/>
    </row>
    <row r="448" spans="16:16">
      <c r="P448" s="20"/>
    </row>
    <row r="449" spans="16:16">
      <c r="P449" s="20"/>
    </row>
    <row r="450" spans="16:16">
      <c r="P450" s="20"/>
    </row>
    <row r="451" spans="16:16">
      <c r="P451" s="20"/>
    </row>
    <row r="452" spans="16:16">
      <c r="P452" s="20"/>
    </row>
    <row r="453" spans="16:16">
      <c r="P453" s="20"/>
    </row>
    <row r="454" spans="16:16">
      <c r="P454" s="20"/>
    </row>
    <row r="455" spans="16:16">
      <c r="P455" s="20"/>
    </row>
    <row r="456" spans="16:16">
      <c r="P456" s="20"/>
    </row>
    <row r="457" spans="16:16">
      <c r="P457" s="20"/>
    </row>
    <row r="458" spans="16:16">
      <c r="P458" s="20"/>
    </row>
    <row r="459" spans="16:16">
      <c r="P459" s="20"/>
    </row>
    <row r="460" spans="16:16">
      <c r="P460" s="20"/>
    </row>
    <row r="461" spans="16:16">
      <c r="P461" s="20"/>
    </row>
    <row r="462" spans="16:16">
      <c r="P462" s="20"/>
    </row>
    <row r="463" spans="16:16">
      <c r="P463" s="20"/>
    </row>
    <row r="464" spans="16:16">
      <c r="P464" s="20"/>
    </row>
    <row r="465" spans="16:16">
      <c r="P465" s="20"/>
    </row>
    <row r="466" spans="16:16">
      <c r="P466" s="20"/>
    </row>
    <row r="467" spans="16:16">
      <c r="P467" s="20"/>
    </row>
    <row r="468" spans="16:16">
      <c r="P468" s="20"/>
    </row>
    <row r="469" spans="16:16">
      <c r="P469" s="20"/>
    </row>
    <row r="470" spans="16:16">
      <c r="P470" s="20"/>
    </row>
    <row r="471" spans="16:16">
      <c r="P471" s="20"/>
    </row>
    <row r="472" spans="16:16">
      <c r="P472" s="20"/>
    </row>
    <row r="473" spans="16:16">
      <c r="P473" s="20"/>
    </row>
    <row r="474" spans="16:16">
      <c r="P474" s="20"/>
    </row>
    <row r="475" spans="16:16">
      <c r="P475" s="20"/>
    </row>
    <row r="476" spans="16:16">
      <c r="P476" s="20"/>
    </row>
    <row r="477" spans="16:16">
      <c r="P477" s="20"/>
    </row>
    <row r="478" spans="16:16">
      <c r="P478" s="20"/>
    </row>
    <row r="479" spans="16:16">
      <c r="P479" s="20"/>
    </row>
    <row r="480" spans="16:16">
      <c r="P480" s="20"/>
    </row>
    <row r="481" spans="16:16">
      <c r="P481" s="20"/>
    </row>
    <row r="482" spans="16:16">
      <c r="P482" s="20"/>
    </row>
    <row r="483" spans="16:16">
      <c r="P483" s="20"/>
    </row>
    <row r="484" spans="16:16">
      <c r="P484" s="20"/>
    </row>
    <row r="485" spans="16:16">
      <c r="P485" s="20"/>
    </row>
    <row r="486" spans="16:16">
      <c r="P486" s="20"/>
    </row>
    <row r="487" spans="16:16">
      <c r="P487" s="20"/>
    </row>
    <row r="488" spans="16:16">
      <c r="P488" s="20"/>
    </row>
    <row r="489" spans="16:16">
      <c r="P489" s="20"/>
    </row>
    <row r="490" spans="16:16">
      <c r="P490" s="20"/>
    </row>
    <row r="491" spans="16:16">
      <c r="P491" s="20"/>
    </row>
    <row r="492" spans="16:16">
      <c r="P492" s="20"/>
    </row>
    <row r="493" spans="16:16">
      <c r="P493" s="20"/>
    </row>
    <row r="494" spans="16:16">
      <c r="P494" s="20"/>
    </row>
    <row r="495" spans="16:16">
      <c r="P495" s="20"/>
    </row>
    <row r="496" spans="16:16">
      <c r="P496" s="20"/>
    </row>
    <row r="497" spans="16:16">
      <c r="P497" s="20"/>
    </row>
    <row r="498" spans="16:16">
      <c r="P498" s="20"/>
    </row>
    <row r="499" spans="16:16">
      <c r="P499" s="20"/>
    </row>
    <row r="500" spans="16:16">
      <c r="P500" s="20"/>
    </row>
  </sheetData>
  <conditionalFormatting sqref="E2:E500">
    <cfRule type="containsText" dxfId="17" priority="6" operator="containsText" text="Alta"/>
    <cfRule type="containsText" dxfId="16" priority="7" operator="containsText" text="Media"/>
    <cfRule type="containsText" dxfId="15" priority="8" operator="containsText" text="Baja"/>
  </conditionalFormatting>
  <conditionalFormatting sqref="I2:I500">
    <cfRule type="containsText" dxfId="14" priority="1" operator="containsText" text="Pasó"/>
    <cfRule type="containsText" dxfId="13" priority="2" operator="containsText" text="Falló"/>
    <cfRule type="containsText" dxfId="12" priority="3" operator="containsText" text="Bloqueado"/>
    <cfRule type="containsText" dxfId="11" priority="4" operator="containsText" text="En prueba"/>
    <cfRule type="containsText" dxfId="10" priority="5" operator="containsText" text="No aplica"/>
  </conditionalFormatting>
  <dataValidations count="6">
    <dataValidation type="list" allowBlank="1" sqref="B2:B500" xr:uid="{00000000-0002-0000-0100-000000000000}">
      <formula1>"Accesibilidad,Auth,Consola/errores,Dashboard,Ecosistema social,Explorar,Mascotas,Mensajería,Onboarding familia,Onboarding profesional,Perfil profesional,Persistencia local,Preferencias,QR,Registro,Regresión,Rendimiento,Responsive"</formula1>
    </dataValidation>
    <dataValidation type="list" allowBlank="1" sqref="E2:E500" xr:uid="{00000000-0002-0000-0100-000001000000}">
      <formula1>"Alta,Media,Baja"</formula1>
    </dataValidation>
    <dataValidation type="list" allowBlank="1" sqref="F2:F500" xr:uid="{00000000-0002-0000-0100-000002000000}">
      <formula1>"Smoke,Funcional,Validación,Visual,Responsive,Regresión,Persistencia,Accesibilidad,Rendimiento,Seguridad básica"</formula1>
    </dataValidation>
    <dataValidation type="list" allowBlank="1" sqref="G2:G500" xr:uid="{00000000-0002-0000-0100-000003000000}">
      <formula1>"Sí,No,Después"</formula1>
    </dataValidation>
    <dataValidation type="list" allowBlank="1" sqref="H2:H500" xr:uid="{00000000-0002-0000-0100-000004000000}">
      <formula1>"Smoke test,Widget test,Integration test,Golden test futuro,Manual,No aplica"</formula1>
    </dataValidation>
    <dataValidation type="list" allowBlank="1" sqref="I2:I500" xr:uid="{00000000-0002-0000-0100-000005000000}">
      <formula1>"Pendiente,En prueba,Pasó,Falló,Bloqueado,No aplica"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workbookViewId="0">
      <selection activeCell="A2" sqref="A2"/>
    </sheetView>
  </sheetViews>
  <sheetFormatPr baseColWidth="10" defaultColWidth="9" defaultRowHeight="14.25"/>
  <cols>
    <col min="1" max="1" width="12" customWidth="1"/>
    <col min="2" max="2" width="14" customWidth="1"/>
    <col min="3" max="4" width="18" customWidth="1"/>
    <col min="5" max="5" width="14" customWidth="1"/>
    <col min="6" max="6" width="12" customWidth="1"/>
    <col min="7" max="7" width="14" customWidth="1"/>
    <col min="8" max="8" width="28" customWidth="1"/>
    <col min="9" max="10" width="42" customWidth="1"/>
    <col min="11" max="12" width="38" customWidth="1"/>
    <col min="13" max="13" width="30" customWidth="1"/>
    <col min="14" max="14" width="18" customWidth="1"/>
    <col min="15" max="15" width="28" customWidth="1"/>
  </cols>
  <sheetData>
    <row r="1" spans="1:15" ht="15">
      <c r="A1" s="48" t="s">
        <v>564</v>
      </c>
      <c r="B1" s="48" t="s">
        <v>565</v>
      </c>
      <c r="C1" s="48" t="s">
        <v>566</v>
      </c>
      <c r="D1" s="48" t="s">
        <v>43</v>
      </c>
      <c r="E1" s="48" t="s">
        <v>567</v>
      </c>
      <c r="F1" s="48" t="s">
        <v>6</v>
      </c>
      <c r="G1" s="48" t="s">
        <v>4</v>
      </c>
      <c r="H1" s="48" t="s">
        <v>568</v>
      </c>
      <c r="I1" s="48" t="s">
        <v>569</v>
      </c>
      <c r="J1" s="48" t="s">
        <v>570</v>
      </c>
      <c r="K1" s="48" t="s">
        <v>52</v>
      </c>
      <c r="L1" s="48" t="s">
        <v>571</v>
      </c>
      <c r="M1" s="48" t="s">
        <v>572</v>
      </c>
      <c r="N1" s="48" t="s">
        <v>54</v>
      </c>
      <c r="O1" s="48" t="s">
        <v>573</v>
      </c>
    </row>
    <row r="2" spans="1:15">
      <c r="A2" s="1"/>
      <c r="B2" s="1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>
      <c r="A3" s="4"/>
      <c r="B3" s="1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4"/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>
      <c r="A5" s="4"/>
      <c r="B5" s="1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>
      <c r="A6" s="4"/>
      <c r="B6" s="18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A7" s="4"/>
      <c r="B7" s="1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>
      <c r="A8" s="4"/>
      <c r="B8" s="1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>
      <c r="A9" s="4"/>
      <c r="B9" s="1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>
      <c r="A10" s="4"/>
      <c r="B10" s="1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5">
      <c r="A11" s="4"/>
      <c r="B11" s="1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</row>
    <row r="12" spans="1:15">
      <c r="A12" s="4"/>
      <c r="B12" s="18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5">
      <c r="A13" s="4"/>
      <c r="B13" s="1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</row>
    <row r="14" spans="1:15">
      <c r="A14" s="4"/>
      <c r="B14" s="1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1:15">
      <c r="A15" s="4"/>
      <c r="B15" s="1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6"/>
    </row>
    <row r="16" spans="1:15">
      <c r="A16" s="4"/>
      <c r="B16" s="1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</row>
    <row r="17" spans="1:15">
      <c r="A17" s="4"/>
      <c r="B17" s="18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</row>
    <row r="18" spans="1:15">
      <c r="A18" s="4"/>
      <c r="B18" s="1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>
      <c r="A19" s="4"/>
      <c r="B19" s="1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0" spans="1:15">
      <c r="A20" s="4"/>
      <c r="B20" s="1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</row>
    <row r="21" spans="1:15">
      <c r="A21" s="4"/>
      <c r="B21" s="1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1:15">
      <c r="A22" s="4"/>
      <c r="B22" s="1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6"/>
    </row>
    <row r="23" spans="1:15">
      <c r="A23" s="4"/>
      <c r="B23" s="1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6"/>
    </row>
    <row r="24" spans="1:15">
      <c r="A24" s="4"/>
      <c r="B24" s="1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6"/>
    </row>
    <row r="25" spans="1:15">
      <c r="A25" s="4"/>
      <c r="B25" s="18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6"/>
    </row>
    <row r="26" spans="1:15">
      <c r="A26" s="4"/>
      <c r="B26" s="18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1:15">
      <c r="A27" s="4"/>
      <c r="B27" s="1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</row>
    <row r="28" spans="1:15">
      <c r="A28" s="4"/>
      <c r="B28" s="18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>
      <c r="A29" s="4"/>
      <c r="B29" s="18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</row>
    <row r="30" spans="1:15">
      <c r="A30" s="4"/>
      <c r="B30" s="1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</row>
    <row r="31" spans="1:15">
      <c r="A31" s="4"/>
      <c r="B31" s="18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1:15">
      <c r="A32" s="4"/>
      <c r="B32" s="1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5">
      <c r="A33" s="4"/>
      <c r="B33" s="18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1:15">
      <c r="A34" s="4"/>
      <c r="B34" s="18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6"/>
    </row>
    <row r="35" spans="1:15">
      <c r="A35" s="4"/>
      <c r="B35" s="1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</row>
    <row r="36" spans="1:15">
      <c r="A36" s="4"/>
      <c r="B36" s="1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</row>
    <row r="37" spans="1:15">
      <c r="A37" s="4"/>
      <c r="B37" s="1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</row>
    <row r="38" spans="1:15">
      <c r="A38" s="4"/>
      <c r="B38" s="1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</row>
    <row r="39" spans="1:15">
      <c r="A39" s="4"/>
      <c r="B39" s="1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6"/>
    </row>
    <row r="40" spans="1:15">
      <c r="A40" s="4"/>
      <c r="B40" s="1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1:15">
      <c r="A41" s="4"/>
      <c r="B41" s="18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6"/>
    </row>
    <row r="42" spans="1:15">
      <c r="A42" s="4"/>
      <c r="B42" s="1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6"/>
    </row>
    <row r="43" spans="1:15">
      <c r="A43" s="4"/>
      <c r="B43" s="1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6"/>
    </row>
    <row r="44" spans="1:15">
      <c r="A44" s="4"/>
      <c r="B44" s="18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</row>
    <row r="45" spans="1:15">
      <c r="A45" s="4"/>
      <c r="B45" s="1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</row>
    <row r="46" spans="1:15">
      <c r="A46" s="4"/>
      <c r="B46" s="1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6"/>
    </row>
    <row r="47" spans="1:15">
      <c r="A47" s="4"/>
      <c r="B47" s="1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6"/>
    </row>
    <row r="48" spans="1:15">
      <c r="A48" s="4"/>
      <c r="B48" s="1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6"/>
    </row>
    <row r="49" spans="1:15">
      <c r="A49" s="4"/>
      <c r="B49" s="1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6"/>
    </row>
    <row r="50" spans="1:15">
      <c r="A50" s="4"/>
      <c r="B50" s="1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1" spans="1:15">
      <c r="A51" s="7"/>
      <c r="B51" s="21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</row>
    <row r="52" spans="1:15">
      <c r="B52" s="20"/>
    </row>
    <row r="53" spans="1:15">
      <c r="B53" s="20"/>
    </row>
    <row r="54" spans="1:15">
      <c r="B54" s="20"/>
    </row>
    <row r="55" spans="1:15">
      <c r="B55" s="20"/>
    </row>
    <row r="56" spans="1:15">
      <c r="B56" s="20"/>
    </row>
    <row r="57" spans="1:15">
      <c r="B57" s="20"/>
    </row>
    <row r="58" spans="1:15">
      <c r="B58" s="20"/>
    </row>
    <row r="59" spans="1:15">
      <c r="B59" s="20"/>
    </row>
    <row r="60" spans="1:15">
      <c r="B60" s="20"/>
    </row>
    <row r="61" spans="1:15">
      <c r="B61" s="20"/>
    </row>
    <row r="62" spans="1:15">
      <c r="B62" s="20"/>
    </row>
    <row r="63" spans="1:15">
      <c r="B63" s="20"/>
    </row>
    <row r="64" spans="1:15">
      <c r="B64" s="20"/>
    </row>
    <row r="65" spans="2:2">
      <c r="B65" s="20"/>
    </row>
    <row r="66" spans="2:2">
      <c r="B66" s="20"/>
    </row>
    <row r="67" spans="2:2">
      <c r="B67" s="20"/>
    </row>
    <row r="68" spans="2:2">
      <c r="B68" s="20"/>
    </row>
    <row r="69" spans="2:2">
      <c r="B69" s="20"/>
    </row>
    <row r="70" spans="2:2">
      <c r="B70" s="20"/>
    </row>
    <row r="71" spans="2:2">
      <c r="B71" s="20"/>
    </row>
    <row r="72" spans="2:2">
      <c r="B72" s="20"/>
    </row>
    <row r="73" spans="2:2">
      <c r="B73" s="20"/>
    </row>
    <row r="74" spans="2:2">
      <c r="B74" s="20"/>
    </row>
    <row r="75" spans="2:2">
      <c r="B75" s="20"/>
    </row>
    <row r="76" spans="2:2">
      <c r="B76" s="20"/>
    </row>
    <row r="77" spans="2:2">
      <c r="B77" s="20"/>
    </row>
    <row r="78" spans="2:2">
      <c r="B78" s="20"/>
    </row>
    <row r="79" spans="2:2">
      <c r="B79" s="20"/>
    </row>
    <row r="80" spans="2:2">
      <c r="B80" s="20"/>
    </row>
    <row r="81" spans="2:2">
      <c r="B81" s="20"/>
    </row>
    <row r="82" spans="2:2">
      <c r="B82" s="20"/>
    </row>
    <row r="83" spans="2:2">
      <c r="B83" s="20"/>
    </row>
    <row r="84" spans="2:2">
      <c r="B84" s="20"/>
    </row>
    <row r="85" spans="2:2">
      <c r="B85" s="20"/>
    </row>
    <row r="86" spans="2:2">
      <c r="B86" s="20"/>
    </row>
    <row r="87" spans="2:2">
      <c r="B87" s="20"/>
    </row>
    <row r="88" spans="2:2">
      <c r="B88" s="20"/>
    </row>
    <row r="89" spans="2:2">
      <c r="B89" s="20"/>
    </row>
    <row r="90" spans="2:2">
      <c r="B90" s="20"/>
    </row>
    <row r="91" spans="2:2">
      <c r="B91" s="20"/>
    </row>
    <row r="92" spans="2:2">
      <c r="B92" s="20"/>
    </row>
    <row r="93" spans="2:2">
      <c r="B93" s="20"/>
    </row>
    <row r="94" spans="2:2">
      <c r="B94" s="20"/>
    </row>
    <row r="95" spans="2:2">
      <c r="B95" s="20"/>
    </row>
    <row r="96" spans="2:2">
      <c r="B96" s="20"/>
    </row>
    <row r="97" spans="2:2">
      <c r="B97" s="20"/>
    </row>
    <row r="98" spans="2:2">
      <c r="B98" s="20"/>
    </row>
    <row r="99" spans="2:2">
      <c r="B99" s="20"/>
    </row>
    <row r="100" spans="2:2">
      <c r="B100" s="20"/>
    </row>
  </sheetData>
  <dataValidations count="4">
    <dataValidation type="list" allowBlank="1" sqref="D2:D100" xr:uid="{00000000-0002-0000-0200-000000000000}">
      <formula1>"Accesibilidad,Auth,Consola/errores,Dashboard,Ecosistema social,Explorar,Mascotas,Mensajería,Onboarding familia,Onboarding profesional,Perfil profesional,Persistencia local,Preferencias,QR,Registro,Regresión,Rendimiento,Responsive"</formula1>
    </dataValidation>
    <dataValidation type="list" allowBlank="1" sqref="E2:E100" xr:uid="{00000000-0002-0000-0200-000001000000}">
      <formula1>"Crítica,Alta,Media,Baja"</formula1>
    </dataValidation>
    <dataValidation type="list" allowBlank="1" sqref="F2:F100" xr:uid="{00000000-0002-0000-0200-000002000000}">
      <formula1>"Alta,Media,Baja"</formula1>
    </dataValidation>
    <dataValidation type="list" allowBlank="1" sqref="G2:G100" xr:uid="{00000000-0002-0000-0200-000003000000}">
      <formula1>"Nuevo,En análisis,En corrección,Corregido,Re-test,Cerrado,No reproduce"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9" defaultRowHeight="14.25"/>
  <cols>
    <col min="1" max="1" width="10" customWidth="1"/>
    <col min="2" max="2" width="18" customWidth="1"/>
    <col min="3" max="3" width="42" customWidth="1"/>
    <col min="4" max="4" width="26" customWidth="1"/>
    <col min="5" max="5" width="46" customWidth="1"/>
    <col min="6" max="6" width="14" customWidth="1"/>
    <col min="7" max="7" width="34" customWidth="1"/>
  </cols>
  <sheetData>
    <row r="1" spans="1:7" ht="15">
      <c r="A1" s="49" t="s">
        <v>42</v>
      </c>
      <c r="B1" s="49" t="s">
        <v>574</v>
      </c>
      <c r="C1" s="49" t="s">
        <v>575</v>
      </c>
      <c r="D1" s="49" t="s">
        <v>576</v>
      </c>
      <c r="E1" s="49" t="s">
        <v>52</v>
      </c>
      <c r="F1" s="49" t="s">
        <v>4</v>
      </c>
      <c r="G1" s="49" t="s">
        <v>57</v>
      </c>
    </row>
    <row r="2" spans="1:7">
      <c r="A2" s="1" t="s">
        <v>577</v>
      </c>
      <c r="B2" s="2" t="s">
        <v>578</v>
      </c>
      <c r="C2" s="2" t="s">
        <v>579</v>
      </c>
      <c r="D2" s="2" t="s">
        <v>580</v>
      </c>
      <c r="E2" s="2" t="s">
        <v>581</v>
      </c>
      <c r="F2" s="2" t="s">
        <v>8</v>
      </c>
      <c r="G2" s="3"/>
    </row>
    <row r="3" spans="1:7">
      <c r="A3" s="4" t="s">
        <v>582</v>
      </c>
      <c r="B3" s="5" t="s">
        <v>583</v>
      </c>
      <c r="C3" s="5" t="s">
        <v>584</v>
      </c>
      <c r="D3" s="5" t="s">
        <v>585</v>
      </c>
      <c r="E3" s="5" t="s">
        <v>586</v>
      </c>
      <c r="F3" s="5" t="s">
        <v>8</v>
      </c>
      <c r="G3" s="6"/>
    </row>
    <row r="4" spans="1:7" ht="25.5">
      <c r="A4" s="4" t="s">
        <v>587</v>
      </c>
      <c r="B4" s="5" t="s">
        <v>588</v>
      </c>
      <c r="C4" s="5" t="s">
        <v>589</v>
      </c>
      <c r="D4" s="5" t="s">
        <v>590</v>
      </c>
      <c r="E4" s="5" t="s">
        <v>591</v>
      </c>
      <c r="F4" s="5" t="s">
        <v>8</v>
      </c>
      <c r="G4" s="6"/>
    </row>
    <row r="5" spans="1:7" ht="25.5">
      <c r="A5" s="4" t="s">
        <v>592</v>
      </c>
      <c r="B5" s="5" t="s">
        <v>593</v>
      </c>
      <c r="C5" s="5" t="s">
        <v>594</v>
      </c>
      <c r="D5" s="5" t="s">
        <v>595</v>
      </c>
      <c r="E5" s="5" t="s">
        <v>596</v>
      </c>
      <c r="F5" s="5" t="s">
        <v>8</v>
      </c>
      <c r="G5" s="6"/>
    </row>
    <row r="6" spans="1:7">
      <c r="A6" s="4" t="s">
        <v>597</v>
      </c>
      <c r="B6" s="5" t="s">
        <v>593</v>
      </c>
      <c r="C6" s="5" t="s">
        <v>598</v>
      </c>
      <c r="D6" s="5" t="s">
        <v>599</v>
      </c>
      <c r="E6" s="5" t="s">
        <v>600</v>
      </c>
      <c r="F6" s="5" t="s">
        <v>8</v>
      </c>
      <c r="G6" s="6"/>
    </row>
    <row r="7" spans="1:7">
      <c r="A7" s="4" t="s">
        <v>601</v>
      </c>
      <c r="B7" s="5" t="s">
        <v>602</v>
      </c>
      <c r="C7" s="5" t="s">
        <v>603</v>
      </c>
      <c r="D7" s="5" t="s">
        <v>604</v>
      </c>
      <c r="E7" s="5" t="s">
        <v>605</v>
      </c>
      <c r="F7" s="5" t="s">
        <v>8</v>
      </c>
      <c r="G7" s="6"/>
    </row>
    <row r="8" spans="1:7">
      <c r="A8" s="4" t="s">
        <v>606</v>
      </c>
      <c r="B8" s="5" t="s">
        <v>602</v>
      </c>
      <c r="C8" s="5" t="s">
        <v>607</v>
      </c>
      <c r="D8" s="5" t="s">
        <v>608</v>
      </c>
      <c r="E8" s="5" t="s">
        <v>609</v>
      </c>
      <c r="F8" s="5" t="s">
        <v>8</v>
      </c>
      <c r="G8" s="6"/>
    </row>
    <row r="9" spans="1:7">
      <c r="A9" s="4" t="s">
        <v>610</v>
      </c>
      <c r="B9" s="5" t="s">
        <v>611</v>
      </c>
      <c r="C9" s="5" t="s">
        <v>612</v>
      </c>
      <c r="D9" s="5" t="s">
        <v>613</v>
      </c>
      <c r="E9" s="5" t="s">
        <v>614</v>
      </c>
      <c r="F9" s="5" t="s">
        <v>8</v>
      </c>
      <c r="G9" s="6"/>
    </row>
    <row r="10" spans="1:7">
      <c r="A10" s="4" t="s">
        <v>615</v>
      </c>
      <c r="B10" s="5" t="s">
        <v>616</v>
      </c>
      <c r="C10" s="5" t="s">
        <v>617</v>
      </c>
      <c r="D10" s="5" t="s">
        <v>618</v>
      </c>
      <c r="E10" s="5" t="s">
        <v>619</v>
      </c>
      <c r="F10" s="5" t="s">
        <v>8</v>
      </c>
      <c r="G10" s="6"/>
    </row>
    <row r="11" spans="1:7">
      <c r="A11" s="4" t="s">
        <v>620</v>
      </c>
      <c r="B11" s="5" t="s">
        <v>621</v>
      </c>
      <c r="C11" s="5" t="s">
        <v>622</v>
      </c>
      <c r="D11" s="5" t="s">
        <v>623</v>
      </c>
      <c r="E11" s="5" t="s">
        <v>624</v>
      </c>
      <c r="F11" s="5" t="s">
        <v>8</v>
      </c>
      <c r="G11" s="6"/>
    </row>
    <row r="12" spans="1:7">
      <c r="A12" s="4" t="s">
        <v>625</v>
      </c>
      <c r="B12" s="5" t="s">
        <v>621</v>
      </c>
      <c r="C12" s="5" t="s">
        <v>626</v>
      </c>
      <c r="D12" s="5" t="s">
        <v>627</v>
      </c>
      <c r="E12" s="5" t="s">
        <v>628</v>
      </c>
      <c r="F12" s="5" t="s">
        <v>8</v>
      </c>
      <c r="G12" s="6"/>
    </row>
    <row r="13" spans="1:7">
      <c r="A13" s="4" t="s">
        <v>629</v>
      </c>
      <c r="B13" s="5" t="s">
        <v>621</v>
      </c>
      <c r="C13" s="5" t="s">
        <v>630</v>
      </c>
      <c r="D13" s="5" t="s">
        <v>631</v>
      </c>
      <c r="E13" s="5" t="s">
        <v>632</v>
      </c>
      <c r="F13" s="5" t="s">
        <v>8</v>
      </c>
      <c r="G13" s="6"/>
    </row>
    <row r="14" spans="1:7">
      <c r="A14" s="4" t="s">
        <v>633</v>
      </c>
      <c r="B14" s="5" t="s">
        <v>634</v>
      </c>
      <c r="C14" s="5" t="s">
        <v>635</v>
      </c>
      <c r="D14" s="5" t="s">
        <v>636</v>
      </c>
      <c r="E14" s="5" t="s">
        <v>637</v>
      </c>
      <c r="F14" s="5" t="s">
        <v>8</v>
      </c>
      <c r="G14" s="6"/>
    </row>
    <row r="15" spans="1:7">
      <c r="A15" s="4" t="s">
        <v>638</v>
      </c>
      <c r="B15" s="5" t="s">
        <v>639</v>
      </c>
      <c r="C15" s="5" t="s">
        <v>640</v>
      </c>
      <c r="D15" s="5" t="s">
        <v>641</v>
      </c>
      <c r="E15" s="5" t="s">
        <v>642</v>
      </c>
      <c r="F15" s="5" t="s">
        <v>8</v>
      </c>
      <c r="G15" s="6"/>
    </row>
    <row r="16" spans="1:7">
      <c r="A16" s="4" t="s">
        <v>643</v>
      </c>
      <c r="B16" s="5" t="s">
        <v>41</v>
      </c>
      <c r="C16" s="5" t="s">
        <v>644</v>
      </c>
      <c r="D16" s="5" t="s">
        <v>493</v>
      </c>
      <c r="E16" s="5" t="s">
        <v>645</v>
      </c>
      <c r="F16" s="5" t="s">
        <v>8</v>
      </c>
      <c r="G16" s="6"/>
    </row>
    <row r="17" spans="1:7">
      <c r="A17" s="4" t="s">
        <v>646</v>
      </c>
      <c r="B17" s="5" t="s">
        <v>41</v>
      </c>
      <c r="C17" s="5" t="s">
        <v>647</v>
      </c>
      <c r="D17" s="5" t="s">
        <v>648</v>
      </c>
      <c r="E17" s="5" t="s">
        <v>649</v>
      </c>
      <c r="F17" s="5" t="s">
        <v>8</v>
      </c>
      <c r="G17" s="6"/>
    </row>
    <row r="18" spans="1:7">
      <c r="A18" s="4" t="s">
        <v>650</v>
      </c>
      <c r="B18" s="5" t="s">
        <v>651</v>
      </c>
      <c r="C18" s="5" t="s">
        <v>652</v>
      </c>
      <c r="D18" s="5" t="s">
        <v>636</v>
      </c>
      <c r="E18" s="5" t="s">
        <v>653</v>
      </c>
      <c r="F18" s="5" t="s">
        <v>8</v>
      </c>
      <c r="G18" s="6"/>
    </row>
    <row r="19" spans="1:7">
      <c r="A19" s="4" t="s">
        <v>654</v>
      </c>
      <c r="B19" s="5" t="s">
        <v>655</v>
      </c>
      <c r="C19" s="5" t="s">
        <v>656</v>
      </c>
      <c r="D19" s="5" t="s">
        <v>554</v>
      </c>
      <c r="E19" s="5" t="s">
        <v>657</v>
      </c>
      <c r="F19" s="5" t="s">
        <v>8</v>
      </c>
      <c r="G19" s="6"/>
    </row>
    <row r="20" spans="1:7">
      <c r="A20" s="4" t="s">
        <v>658</v>
      </c>
      <c r="B20" s="5" t="s">
        <v>659</v>
      </c>
      <c r="C20" s="5" t="s">
        <v>660</v>
      </c>
      <c r="D20" s="5" t="s">
        <v>661</v>
      </c>
      <c r="E20" s="5" t="s">
        <v>662</v>
      </c>
      <c r="F20" s="5" t="s">
        <v>8</v>
      </c>
      <c r="G20" s="6"/>
    </row>
    <row r="21" spans="1:7">
      <c r="A21" s="4" t="s">
        <v>663</v>
      </c>
      <c r="B21" s="5" t="s">
        <v>664</v>
      </c>
      <c r="C21" s="5" t="s">
        <v>665</v>
      </c>
      <c r="D21" s="5" t="s">
        <v>666</v>
      </c>
      <c r="E21" s="5" t="s">
        <v>667</v>
      </c>
      <c r="F21" s="5" t="s">
        <v>8</v>
      </c>
      <c r="G21" s="6"/>
    </row>
    <row r="22" spans="1:7">
      <c r="A22" s="4" t="s">
        <v>668</v>
      </c>
      <c r="B22" s="5" t="s">
        <v>669</v>
      </c>
      <c r="C22" s="5" t="s">
        <v>670</v>
      </c>
      <c r="D22" s="5" t="s">
        <v>671</v>
      </c>
      <c r="E22" s="5" t="s">
        <v>672</v>
      </c>
      <c r="F22" s="5" t="s">
        <v>8</v>
      </c>
      <c r="G22" s="6"/>
    </row>
    <row r="23" spans="1:7">
      <c r="A23" s="4" t="s">
        <v>673</v>
      </c>
      <c r="B23" s="5" t="s">
        <v>674</v>
      </c>
      <c r="C23" s="5" t="s">
        <v>675</v>
      </c>
      <c r="D23" s="5" t="s">
        <v>676</v>
      </c>
      <c r="E23" s="5" t="s">
        <v>677</v>
      </c>
      <c r="F23" s="5" t="s">
        <v>8</v>
      </c>
      <c r="G23" s="6"/>
    </row>
    <row r="24" spans="1:7">
      <c r="A24" s="4" t="s">
        <v>678</v>
      </c>
      <c r="B24" s="5" t="s">
        <v>674</v>
      </c>
      <c r="C24" s="5" t="s">
        <v>679</v>
      </c>
      <c r="D24" s="5" t="s">
        <v>636</v>
      </c>
      <c r="E24" s="5" t="s">
        <v>680</v>
      </c>
      <c r="F24" s="5" t="s">
        <v>8</v>
      </c>
      <c r="G24" s="6"/>
    </row>
    <row r="25" spans="1:7">
      <c r="A25" s="4" t="s">
        <v>681</v>
      </c>
      <c r="B25" s="5" t="s">
        <v>682</v>
      </c>
      <c r="C25" s="5" t="s">
        <v>683</v>
      </c>
      <c r="D25" s="5" t="s">
        <v>684</v>
      </c>
      <c r="E25" s="5" t="s">
        <v>685</v>
      </c>
      <c r="F25" s="5" t="s">
        <v>8</v>
      </c>
      <c r="G25" s="6"/>
    </row>
    <row r="26" spans="1:7">
      <c r="A26" s="7" t="s">
        <v>686</v>
      </c>
      <c r="B26" s="8" t="s">
        <v>687</v>
      </c>
      <c r="C26" s="8" t="s">
        <v>688</v>
      </c>
      <c r="D26" s="8" t="s">
        <v>689</v>
      </c>
      <c r="E26" s="8" t="s">
        <v>690</v>
      </c>
      <c r="F26" s="8" t="s">
        <v>8</v>
      </c>
      <c r="G26" s="9"/>
    </row>
  </sheetData>
  <conditionalFormatting sqref="F2:F100">
    <cfRule type="containsText" dxfId="9" priority="1" operator="containsText" text="Pasó"/>
    <cfRule type="containsText" dxfId="8" priority="2" operator="containsText" text="Falló"/>
    <cfRule type="containsText" dxfId="7" priority="3" operator="containsText" text="Bloqueado"/>
    <cfRule type="containsText" dxfId="6" priority="4" operator="containsText" text="En prueba"/>
    <cfRule type="containsText" dxfId="5" priority="5" operator="containsText" text="No aplica"/>
  </conditionalFormatting>
  <dataValidations count="1">
    <dataValidation type="list" allowBlank="1" sqref="F2:F100" xr:uid="{00000000-0002-0000-0300-000000000000}">
      <formula1>"Pendiente,En prueba,Pasó,Falló,Bloqueado,No aplica"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/>
  </sheetViews>
  <sheetFormatPr baseColWidth="10" defaultColWidth="9" defaultRowHeight="14.25"/>
  <cols>
    <col min="1" max="1" width="8" customWidth="1"/>
    <col min="2" max="2" width="12" customWidth="1"/>
    <col min="3" max="3" width="20" customWidth="1"/>
    <col min="4" max="4" width="48" customWidth="1"/>
    <col min="5" max="5" width="28" customWidth="1"/>
    <col min="6" max="6" width="14" customWidth="1"/>
    <col min="7" max="7" width="38" customWidth="1"/>
  </cols>
  <sheetData>
    <row r="1" spans="1:7" ht="15">
      <c r="A1" s="50" t="s">
        <v>691</v>
      </c>
      <c r="B1" s="50" t="s">
        <v>692</v>
      </c>
      <c r="C1" s="50" t="s">
        <v>43</v>
      </c>
      <c r="D1" s="50" t="s">
        <v>693</v>
      </c>
      <c r="E1" s="50" t="s">
        <v>694</v>
      </c>
      <c r="F1" s="50" t="s">
        <v>4</v>
      </c>
      <c r="G1" s="50" t="s">
        <v>57</v>
      </c>
    </row>
    <row r="2" spans="1:7">
      <c r="A2" s="1">
        <v>1</v>
      </c>
      <c r="B2" s="2" t="s">
        <v>58</v>
      </c>
      <c r="C2" s="2" t="s">
        <v>25</v>
      </c>
      <c r="D2" s="2" t="s">
        <v>60</v>
      </c>
      <c r="E2" s="2" t="s">
        <v>695</v>
      </c>
      <c r="F2" s="2" t="s">
        <v>8</v>
      </c>
      <c r="G2" s="3"/>
    </row>
    <row r="3" spans="1:7">
      <c r="A3" s="4">
        <v>2</v>
      </c>
      <c r="B3" s="5" t="s">
        <v>68</v>
      </c>
      <c r="C3" s="5" t="s">
        <v>25</v>
      </c>
      <c r="D3" s="5" t="s">
        <v>70</v>
      </c>
      <c r="E3" s="5" t="s">
        <v>695</v>
      </c>
      <c r="F3" s="5" t="s">
        <v>8</v>
      </c>
      <c r="G3" s="6"/>
    </row>
    <row r="4" spans="1:7">
      <c r="A4" s="4">
        <v>3</v>
      </c>
      <c r="B4" s="5" t="s">
        <v>89</v>
      </c>
      <c r="C4" s="5" t="s">
        <v>25</v>
      </c>
      <c r="D4" s="5" t="s">
        <v>91</v>
      </c>
      <c r="E4" s="5" t="s">
        <v>695</v>
      </c>
      <c r="F4" s="5" t="s">
        <v>8</v>
      </c>
      <c r="G4" s="6"/>
    </row>
    <row r="5" spans="1:7">
      <c r="A5" s="4">
        <v>4</v>
      </c>
      <c r="B5" s="5" t="s">
        <v>97</v>
      </c>
      <c r="C5" s="5" t="s">
        <v>25</v>
      </c>
      <c r="D5" s="5" t="s">
        <v>98</v>
      </c>
      <c r="E5" s="5" t="s">
        <v>695</v>
      </c>
      <c r="F5" s="5" t="s">
        <v>8</v>
      </c>
      <c r="G5" s="6"/>
    </row>
    <row r="6" spans="1:7">
      <c r="A6" s="4">
        <v>5</v>
      </c>
      <c r="B6" s="5" t="s">
        <v>148</v>
      </c>
      <c r="C6" s="5" t="s">
        <v>38</v>
      </c>
      <c r="D6" s="5" t="s">
        <v>150</v>
      </c>
      <c r="E6" s="5" t="s">
        <v>695</v>
      </c>
      <c r="F6" s="5" t="s">
        <v>8</v>
      </c>
      <c r="G6" s="6"/>
    </row>
    <row r="7" spans="1:7">
      <c r="A7" s="4">
        <v>6</v>
      </c>
      <c r="B7" s="5" t="s">
        <v>162</v>
      </c>
      <c r="C7" s="5" t="s">
        <v>38</v>
      </c>
      <c r="D7" s="5" t="s">
        <v>164</v>
      </c>
      <c r="E7" s="5" t="s">
        <v>695</v>
      </c>
      <c r="F7" s="5" t="s">
        <v>8</v>
      </c>
      <c r="G7" s="6"/>
    </row>
    <row r="8" spans="1:7">
      <c r="A8" s="4">
        <v>7</v>
      </c>
      <c r="B8" s="5" t="s">
        <v>170</v>
      </c>
      <c r="C8" s="5" t="s">
        <v>32</v>
      </c>
      <c r="D8" s="5" t="s">
        <v>172</v>
      </c>
      <c r="E8" s="5" t="s">
        <v>695</v>
      </c>
      <c r="F8" s="5" t="s">
        <v>8</v>
      </c>
      <c r="G8" s="6"/>
    </row>
    <row r="9" spans="1:7">
      <c r="A9" s="4">
        <v>8</v>
      </c>
      <c r="B9" s="5" t="s">
        <v>195</v>
      </c>
      <c r="C9" s="5" t="s">
        <v>32</v>
      </c>
      <c r="D9" s="5" t="s">
        <v>197</v>
      </c>
      <c r="E9" s="5" t="s">
        <v>695</v>
      </c>
      <c r="F9" s="5" t="s">
        <v>8</v>
      </c>
      <c r="G9" s="6"/>
    </row>
    <row r="10" spans="1:7">
      <c r="A10" s="4">
        <v>9</v>
      </c>
      <c r="B10" s="5" t="s">
        <v>201</v>
      </c>
      <c r="C10" s="5" t="s">
        <v>32</v>
      </c>
      <c r="D10" s="5" t="s">
        <v>203</v>
      </c>
      <c r="E10" s="5" t="s">
        <v>695</v>
      </c>
      <c r="F10" s="5" t="s">
        <v>8</v>
      </c>
      <c r="G10" s="6"/>
    </row>
    <row r="11" spans="1:7">
      <c r="A11" s="4">
        <v>10</v>
      </c>
      <c r="B11" s="5" t="s">
        <v>208</v>
      </c>
      <c r="C11" s="5" t="s">
        <v>33</v>
      </c>
      <c r="D11" s="5" t="s">
        <v>209</v>
      </c>
      <c r="E11" s="5" t="s">
        <v>695</v>
      </c>
      <c r="F11" s="5" t="s">
        <v>8</v>
      </c>
      <c r="G11" s="6"/>
    </row>
    <row r="12" spans="1:7">
      <c r="A12" s="4">
        <v>11</v>
      </c>
      <c r="B12" s="5" t="s">
        <v>214</v>
      </c>
      <c r="C12" s="5" t="s">
        <v>33</v>
      </c>
      <c r="D12" s="5" t="s">
        <v>215</v>
      </c>
      <c r="E12" s="5" t="s">
        <v>695</v>
      </c>
      <c r="F12" s="5" t="s">
        <v>8</v>
      </c>
      <c r="G12" s="6"/>
    </row>
    <row r="13" spans="1:7">
      <c r="A13" s="4">
        <v>12</v>
      </c>
      <c r="B13" s="5" t="s">
        <v>219</v>
      </c>
      <c r="C13" s="5" t="s">
        <v>33</v>
      </c>
      <c r="D13" s="5" t="s">
        <v>220</v>
      </c>
      <c r="E13" s="5" t="s">
        <v>695</v>
      </c>
      <c r="F13" s="5" t="s">
        <v>8</v>
      </c>
      <c r="G13" s="6"/>
    </row>
    <row r="14" spans="1:7">
      <c r="A14" s="4">
        <v>13</v>
      </c>
      <c r="B14" s="5" t="s">
        <v>223</v>
      </c>
      <c r="C14" s="5" t="s">
        <v>27</v>
      </c>
      <c r="D14" s="5" t="s">
        <v>225</v>
      </c>
      <c r="E14" s="5" t="s">
        <v>695</v>
      </c>
      <c r="F14" s="5" t="s">
        <v>8</v>
      </c>
      <c r="G14" s="6"/>
    </row>
    <row r="15" spans="1:7">
      <c r="A15" s="4">
        <v>14</v>
      </c>
      <c r="B15" s="5" t="s">
        <v>263</v>
      </c>
      <c r="C15" s="5" t="s">
        <v>27</v>
      </c>
      <c r="D15" s="5" t="s">
        <v>265</v>
      </c>
      <c r="E15" s="5" t="s">
        <v>695</v>
      </c>
      <c r="F15" s="5" t="s">
        <v>8</v>
      </c>
      <c r="G15" s="6"/>
    </row>
    <row r="16" spans="1:7">
      <c r="A16" s="4">
        <v>15</v>
      </c>
      <c r="B16" s="5" t="s">
        <v>281</v>
      </c>
      <c r="C16" s="5" t="s">
        <v>34</v>
      </c>
      <c r="D16" s="5" t="s">
        <v>283</v>
      </c>
      <c r="E16" s="5" t="s">
        <v>696</v>
      </c>
      <c r="F16" s="5" t="s">
        <v>8</v>
      </c>
      <c r="G16" s="6"/>
    </row>
    <row r="17" spans="1:7">
      <c r="A17" s="4">
        <v>16</v>
      </c>
      <c r="B17" s="5" t="s">
        <v>287</v>
      </c>
      <c r="C17" s="5" t="s">
        <v>34</v>
      </c>
      <c r="D17" s="5" t="s">
        <v>289</v>
      </c>
      <c r="E17" s="5" t="s">
        <v>696</v>
      </c>
      <c r="F17" s="5" t="s">
        <v>8</v>
      </c>
      <c r="G17" s="6"/>
    </row>
    <row r="18" spans="1:7">
      <c r="A18" s="4">
        <v>17</v>
      </c>
      <c r="B18" s="5" t="s">
        <v>304</v>
      </c>
      <c r="C18" s="5" t="s">
        <v>30</v>
      </c>
      <c r="D18" s="5" t="s">
        <v>306</v>
      </c>
      <c r="E18" s="5" t="s">
        <v>695</v>
      </c>
      <c r="F18" s="5" t="s">
        <v>8</v>
      </c>
      <c r="G18" s="6"/>
    </row>
    <row r="19" spans="1:7">
      <c r="A19" s="4">
        <v>18</v>
      </c>
      <c r="B19" s="5" t="s">
        <v>310</v>
      </c>
      <c r="C19" s="5" t="s">
        <v>30</v>
      </c>
      <c r="D19" s="5" t="s">
        <v>311</v>
      </c>
      <c r="E19" s="5" t="s">
        <v>695</v>
      </c>
      <c r="F19" s="5" t="s">
        <v>8</v>
      </c>
      <c r="G19" s="6"/>
    </row>
    <row r="20" spans="1:7">
      <c r="A20" s="4">
        <v>19</v>
      </c>
      <c r="B20" s="5" t="s">
        <v>316</v>
      </c>
      <c r="C20" s="5" t="s">
        <v>30</v>
      </c>
      <c r="D20" s="5" t="s">
        <v>317</v>
      </c>
      <c r="E20" s="5" t="s">
        <v>695</v>
      </c>
      <c r="F20" s="5" t="s">
        <v>8</v>
      </c>
      <c r="G20" s="6"/>
    </row>
    <row r="21" spans="1:7">
      <c r="A21" s="4">
        <v>20</v>
      </c>
      <c r="B21" s="5" t="s">
        <v>341</v>
      </c>
      <c r="C21" s="5" t="s">
        <v>30</v>
      </c>
      <c r="D21" s="5" t="s">
        <v>343</v>
      </c>
      <c r="E21" s="5" t="s">
        <v>695</v>
      </c>
      <c r="F21" s="5" t="s">
        <v>8</v>
      </c>
      <c r="G21" s="6"/>
    </row>
    <row r="22" spans="1:7">
      <c r="A22" s="4">
        <v>21</v>
      </c>
      <c r="B22" s="5" t="s">
        <v>364</v>
      </c>
      <c r="C22" s="5" t="s">
        <v>28</v>
      </c>
      <c r="D22" s="5" t="s">
        <v>366</v>
      </c>
      <c r="E22" s="5" t="s">
        <v>696</v>
      </c>
      <c r="F22" s="5" t="s">
        <v>8</v>
      </c>
      <c r="G22" s="6"/>
    </row>
    <row r="23" spans="1:7">
      <c r="A23" s="4">
        <v>22</v>
      </c>
      <c r="B23" s="5" t="s">
        <v>376</v>
      </c>
      <c r="C23" s="5" t="s">
        <v>29</v>
      </c>
      <c r="D23" s="5" t="s">
        <v>378</v>
      </c>
      <c r="E23" s="5" t="s">
        <v>695</v>
      </c>
      <c r="F23" s="5" t="s">
        <v>8</v>
      </c>
      <c r="G23" s="6"/>
    </row>
    <row r="24" spans="1:7">
      <c r="A24" s="4">
        <v>23</v>
      </c>
      <c r="B24" s="5" t="s">
        <v>463</v>
      </c>
      <c r="C24" s="5" t="s">
        <v>35</v>
      </c>
      <c r="D24" s="5" t="s">
        <v>465</v>
      </c>
      <c r="E24" s="5" t="s">
        <v>695</v>
      </c>
      <c r="F24" s="5" t="s">
        <v>8</v>
      </c>
      <c r="G24" s="6"/>
    </row>
    <row r="25" spans="1:7">
      <c r="A25" s="4">
        <v>24</v>
      </c>
      <c r="B25" s="5" t="s">
        <v>469</v>
      </c>
      <c r="C25" s="5" t="s">
        <v>35</v>
      </c>
      <c r="D25" s="5" t="s">
        <v>470</v>
      </c>
      <c r="E25" s="5" t="s">
        <v>695</v>
      </c>
      <c r="F25" s="5" t="s">
        <v>8</v>
      </c>
      <c r="G25" s="6"/>
    </row>
    <row r="26" spans="1:7">
      <c r="A26" s="4">
        <v>25</v>
      </c>
      <c r="B26" s="5" t="s">
        <v>543</v>
      </c>
      <c r="C26" s="5" t="s">
        <v>26</v>
      </c>
      <c r="D26" s="5" t="s">
        <v>545</v>
      </c>
      <c r="E26" s="5" t="s">
        <v>695</v>
      </c>
      <c r="F26" s="5" t="s">
        <v>8</v>
      </c>
      <c r="G26" s="6"/>
    </row>
    <row r="27" spans="1:7">
      <c r="A27" s="7">
        <v>26</v>
      </c>
      <c r="B27" s="8" t="s">
        <v>557</v>
      </c>
      <c r="C27" s="8" t="s">
        <v>39</v>
      </c>
      <c r="D27" s="8" t="s">
        <v>559</v>
      </c>
      <c r="E27" s="8" t="s">
        <v>696</v>
      </c>
      <c r="F27" s="8" t="s">
        <v>8</v>
      </c>
      <c r="G27" s="9"/>
    </row>
  </sheetData>
  <conditionalFormatting sqref="F2:F100">
    <cfRule type="containsText" dxfId="4" priority="1" operator="containsText" text="Pasó"/>
    <cfRule type="containsText" dxfId="3" priority="2" operator="containsText" text="Falló"/>
    <cfRule type="containsText" dxfId="2" priority="3" operator="containsText" text="Bloqueado"/>
    <cfRule type="containsText" dxfId="1" priority="4" operator="containsText" text="En prueba"/>
    <cfRule type="containsText" dxfId="0" priority="5" operator="containsText" text="No aplica"/>
  </conditionalFormatting>
  <dataValidations count="1">
    <dataValidation type="list" allowBlank="1" sqref="F2:F100" xr:uid="{00000000-0002-0000-0400-000000000000}">
      <formula1>"Pendiente,En prueba,Pasó,Falló,Bloqueado,No aplica"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9" defaultRowHeight="14.25"/>
  <cols>
    <col min="1" max="1" width="24" customWidth="1"/>
    <col min="2" max="2" width="95" customWidth="1"/>
  </cols>
  <sheetData>
    <row r="1" spans="1:2" ht="21.95" customHeight="1">
      <c r="A1" s="51" t="s">
        <v>697</v>
      </c>
      <c r="B1" s="52"/>
    </row>
    <row r="2" spans="1:2" ht="26.85" customHeight="1">
      <c r="A2" s="22" t="s">
        <v>698</v>
      </c>
      <c r="B2" s="23" t="s">
        <v>699</v>
      </c>
    </row>
    <row r="3" spans="1:2" ht="26.85" customHeight="1">
      <c r="A3" s="22" t="s">
        <v>700</v>
      </c>
      <c r="B3" s="23" t="s">
        <v>701</v>
      </c>
    </row>
    <row r="4" spans="1:2" ht="26.85" customHeight="1">
      <c r="A4" s="22" t="s">
        <v>702</v>
      </c>
      <c r="B4" s="23" t="s">
        <v>703</v>
      </c>
    </row>
    <row r="5" spans="1:2" ht="15" customHeight="1">
      <c r="A5" s="22" t="s">
        <v>704</v>
      </c>
      <c r="B5" s="23" t="s">
        <v>705</v>
      </c>
    </row>
    <row r="6" spans="1:2" ht="26.85" customHeight="1">
      <c r="A6" s="22" t="s">
        <v>706</v>
      </c>
      <c r="B6" s="23" t="s">
        <v>707</v>
      </c>
    </row>
    <row r="7" spans="1:2" ht="26.85" customHeight="1">
      <c r="A7" s="22" t="s">
        <v>708</v>
      </c>
      <c r="B7" s="23" t="s">
        <v>709</v>
      </c>
    </row>
    <row r="8" spans="1:2" ht="26.85" customHeight="1">
      <c r="A8" s="24" t="s">
        <v>710</v>
      </c>
      <c r="B8" s="25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QA</vt:lpstr>
      <vt:lpstr>Casos de test</vt:lpstr>
      <vt:lpstr>Bugs encontrados</vt:lpstr>
      <vt:lpstr>Checklist visual</vt:lpstr>
      <vt:lpstr>Regresión crítica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Bruzzone</cp:lastModifiedBy>
  <dcterms:modified xsi:type="dcterms:W3CDTF">2026-04-27T17:57:24Z</dcterms:modified>
</cp:coreProperties>
</file>